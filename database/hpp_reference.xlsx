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lne\Downloads\"/>
    </mc:Choice>
  </mc:AlternateContent>
  <xr:revisionPtr revIDLastSave="0" documentId="13_ncr:1_{C6A6168C-3426-4B2D-B747-259156329E1F}" xr6:coauthVersionLast="47" xr6:coauthVersionMax="47" xr10:uidLastSave="{00000000-0000-0000-0000-000000000000}"/>
  <bookViews>
    <workbookView xWindow="-98" yWindow="-98" windowWidth="19396" windowHeight="11475" xr2:uid="{BEF86394-6F95-4924-A841-A20AF9EE7674}"/>
  </bookViews>
  <sheets>
    <sheet name="Daftar HPP" sheetId="1" r:id="rId1"/>
    <sheet name="Ayam Crispy Potong" sheetId="2" r:id="rId2"/>
    <sheet name="Ayam 1 Ekor" sheetId="3" r:id="rId3"/>
    <sheet name="Kentang Kriwil" sheetId="4" r:id="rId4"/>
    <sheet name="Cut Series (Ayam +  Kentang" sheetId="7" r:id="rId5"/>
    <sheet name="Cut Series (Ayam +  Nasi)" sheetId="6" r:id="rId6"/>
    <sheet name="Minuman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1" l="1"/>
  <c r="F63" i="1" s="1"/>
  <c r="G8" i="1"/>
  <c r="F47" i="1" s="1"/>
  <c r="G6" i="1"/>
  <c r="F46" i="1" s="1"/>
  <c r="F48" i="1" l="1"/>
  <c r="F50" i="1" s="1"/>
  <c r="L52" i="1" s="1"/>
  <c r="AA392" i="6" l="1"/>
  <c r="AA391" i="6"/>
  <c r="AA390" i="6"/>
  <c r="AA389" i="6"/>
  <c r="AA388" i="6"/>
  <c r="AA387" i="6"/>
  <c r="AA386" i="6"/>
  <c r="AA385" i="6"/>
  <c r="AA384" i="6"/>
  <c r="AA383" i="6"/>
  <c r="AA379" i="6"/>
  <c r="AA378" i="6"/>
  <c r="AA377" i="6"/>
  <c r="AA376" i="6"/>
  <c r="AA375" i="6"/>
  <c r="AA374" i="6"/>
  <c r="AA373" i="6"/>
  <c r="AA372" i="6"/>
  <c r="AA371" i="6"/>
  <c r="AA370" i="6"/>
  <c r="AA366" i="6"/>
  <c r="AA365" i="6"/>
  <c r="AA364" i="6"/>
  <c r="AA363" i="6"/>
  <c r="AA362" i="6"/>
  <c r="AA361" i="6"/>
  <c r="AA360" i="6"/>
  <c r="AA359" i="6"/>
  <c r="AA358" i="6"/>
  <c r="AA357" i="6"/>
  <c r="AA353" i="6"/>
  <c r="AA352" i="6"/>
  <c r="AA351" i="6"/>
  <c r="AA350" i="6"/>
  <c r="AA349" i="6"/>
  <c r="AA348" i="6"/>
  <c r="AA347" i="6"/>
  <c r="AA346" i="6"/>
  <c r="AA345" i="6"/>
  <c r="AA344" i="6"/>
  <c r="AA340" i="6"/>
  <c r="AA339" i="6"/>
  <c r="AA338" i="6"/>
  <c r="AA337" i="6"/>
  <c r="AA336" i="6"/>
  <c r="AA335" i="6"/>
  <c r="AA334" i="6"/>
  <c r="AA333" i="6"/>
  <c r="AA332" i="6"/>
  <c r="AA331" i="6"/>
  <c r="AA327" i="6"/>
  <c r="AA326" i="6"/>
  <c r="AA325" i="6"/>
  <c r="AA324" i="6"/>
  <c r="AA323" i="6"/>
  <c r="AA322" i="6"/>
  <c r="AA321" i="6"/>
  <c r="AA320" i="6"/>
  <c r="AA319" i="6"/>
  <c r="AA318" i="6"/>
  <c r="I392" i="6" l="1"/>
  <c r="I391" i="6"/>
  <c r="I390" i="6"/>
  <c r="I389" i="6"/>
  <c r="I388" i="6"/>
  <c r="I387" i="6"/>
  <c r="I386" i="6"/>
  <c r="I385" i="6"/>
  <c r="I384" i="6"/>
  <c r="I383" i="6"/>
  <c r="I379" i="6"/>
  <c r="I378" i="6"/>
  <c r="I377" i="6"/>
  <c r="I376" i="6"/>
  <c r="I375" i="6"/>
  <c r="I374" i="6"/>
  <c r="I373" i="6"/>
  <c r="I372" i="6"/>
  <c r="I371" i="6"/>
  <c r="I370" i="6"/>
  <c r="I366" i="6"/>
  <c r="I365" i="6"/>
  <c r="I364" i="6"/>
  <c r="I363" i="6"/>
  <c r="I362" i="6"/>
  <c r="I361" i="6"/>
  <c r="I360" i="6"/>
  <c r="I359" i="6"/>
  <c r="I358" i="6"/>
  <c r="I357" i="6"/>
  <c r="I353" i="6"/>
  <c r="I352" i="6"/>
  <c r="I351" i="6"/>
  <c r="I350" i="6"/>
  <c r="I349" i="6"/>
  <c r="I348" i="6"/>
  <c r="I347" i="6"/>
  <c r="I346" i="6"/>
  <c r="I345" i="6"/>
  <c r="I344" i="6"/>
  <c r="I340" i="6"/>
  <c r="I339" i="6"/>
  <c r="I338" i="6"/>
  <c r="I337" i="6"/>
  <c r="I336" i="6"/>
  <c r="I335" i="6"/>
  <c r="I334" i="6"/>
  <c r="I333" i="6"/>
  <c r="I331" i="6"/>
  <c r="I332" i="6"/>
  <c r="I327" i="6"/>
  <c r="I326" i="6"/>
  <c r="I325" i="6"/>
  <c r="I324" i="6"/>
  <c r="I323" i="6"/>
  <c r="I322" i="6"/>
  <c r="I321" i="6"/>
  <c r="I320" i="6"/>
  <c r="I319" i="6"/>
  <c r="I318" i="6"/>
  <c r="AA427" i="7"/>
  <c r="AA426" i="7"/>
  <c r="AA425" i="7"/>
  <c r="AA424" i="7"/>
  <c r="AA423" i="7"/>
  <c r="AA422" i="7"/>
  <c r="AA421" i="7"/>
  <c r="AA420" i="7"/>
  <c r="AA419" i="7"/>
  <c r="AA418" i="7"/>
  <c r="AA414" i="7"/>
  <c r="AA413" i="7"/>
  <c r="AA412" i="7"/>
  <c r="AA411" i="7"/>
  <c r="AA410" i="7"/>
  <c r="AA409" i="7"/>
  <c r="AA408" i="7"/>
  <c r="AA407" i="7"/>
  <c r="AA406" i="7"/>
  <c r="AA405" i="7"/>
  <c r="AA401" i="7"/>
  <c r="AA400" i="7"/>
  <c r="AA399" i="7"/>
  <c r="AA398" i="7"/>
  <c r="AA397" i="7"/>
  <c r="AA396" i="7"/>
  <c r="AA395" i="7"/>
  <c r="AA394" i="7"/>
  <c r="AA393" i="7"/>
  <c r="AA392" i="7"/>
  <c r="AA388" i="7"/>
  <c r="AA387" i="7"/>
  <c r="AA386" i="7"/>
  <c r="AA385" i="7"/>
  <c r="AA384" i="7"/>
  <c r="AA383" i="7"/>
  <c r="AA382" i="7"/>
  <c r="AA381" i="7"/>
  <c r="AA380" i="7"/>
  <c r="AA379" i="7"/>
  <c r="AA375" i="7"/>
  <c r="AA374" i="7"/>
  <c r="AA373" i="7"/>
  <c r="AA372" i="7"/>
  <c r="AA371" i="7"/>
  <c r="AA370" i="7"/>
  <c r="AA369" i="7"/>
  <c r="AA368" i="7"/>
  <c r="AA367" i="7"/>
  <c r="AA366" i="7"/>
  <c r="AA362" i="7"/>
  <c r="I427" i="7"/>
  <c r="I426" i="7"/>
  <c r="I425" i="7"/>
  <c r="I424" i="7"/>
  <c r="I423" i="7"/>
  <c r="I422" i="7"/>
  <c r="I421" i="7"/>
  <c r="I420" i="7"/>
  <c r="I419" i="7"/>
  <c r="I418" i="7"/>
  <c r="I414" i="7"/>
  <c r="I413" i="7"/>
  <c r="I412" i="7"/>
  <c r="I411" i="7"/>
  <c r="I410" i="7"/>
  <c r="I409" i="7"/>
  <c r="I408" i="7"/>
  <c r="I407" i="7"/>
  <c r="I406" i="7"/>
  <c r="I405" i="7"/>
  <c r="I401" i="7"/>
  <c r="I400" i="7"/>
  <c r="I399" i="7"/>
  <c r="I398" i="7"/>
  <c r="I397" i="7"/>
  <c r="I396" i="7"/>
  <c r="I395" i="7"/>
  <c r="I394" i="7"/>
  <c r="I393" i="7"/>
  <c r="I392" i="7"/>
  <c r="I388" i="7"/>
  <c r="I387" i="7"/>
  <c r="I386" i="7"/>
  <c r="I385" i="7"/>
  <c r="I384" i="7"/>
  <c r="I383" i="7"/>
  <c r="I382" i="7"/>
  <c r="I381" i="7"/>
  <c r="I380" i="7"/>
  <c r="I379" i="7"/>
  <c r="I375" i="7"/>
  <c r="I374" i="7"/>
  <c r="I373" i="7"/>
  <c r="I372" i="7"/>
  <c r="I371" i="7"/>
  <c r="I370" i="7"/>
  <c r="I369" i="7"/>
  <c r="I368" i="7"/>
  <c r="I367" i="7"/>
  <c r="I366" i="7"/>
  <c r="I362" i="7"/>
  <c r="I356" i="7"/>
  <c r="I439" i="7"/>
  <c r="I438" i="7"/>
  <c r="I437" i="7"/>
  <c r="I436" i="7"/>
  <c r="I435" i="7"/>
  <c r="I434" i="7"/>
  <c r="I433" i="7"/>
  <c r="I432" i="7"/>
  <c r="I431" i="7"/>
  <c r="AA361" i="7"/>
  <c r="AA360" i="7"/>
  <c r="AA359" i="7"/>
  <c r="AA358" i="7"/>
  <c r="AA357" i="7"/>
  <c r="AA356" i="7"/>
  <c r="AA355" i="7"/>
  <c r="AA354" i="7"/>
  <c r="AA353" i="7"/>
  <c r="I361" i="7"/>
  <c r="I360" i="7"/>
  <c r="I359" i="7"/>
  <c r="I358" i="7"/>
  <c r="I357" i="7"/>
  <c r="I355" i="7"/>
  <c r="I354" i="7"/>
  <c r="I353" i="7"/>
  <c r="J118" i="2"/>
  <c r="J117" i="2"/>
  <c r="J105" i="2"/>
  <c r="J104" i="2"/>
  <c r="J116" i="2"/>
  <c r="G34" i="1" l="1"/>
  <c r="L45" i="6" s="1"/>
  <c r="F21" i="6" l="1"/>
  <c r="L21" i="6"/>
  <c r="F33" i="6"/>
  <c r="R9" i="6"/>
  <c r="F9" i="6"/>
  <c r="L33" i="6"/>
  <c r="AJ21" i="6"/>
  <c r="L310" i="6"/>
  <c r="AJ284" i="6"/>
  <c r="L244" i="6"/>
  <c r="R218" i="6"/>
  <c r="L204" i="6"/>
  <c r="AJ178" i="6"/>
  <c r="L138" i="6"/>
  <c r="R112" i="6"/>
  <c r="L98" i="6"/>
  <c r="AJ72" i="6"/>
  <c r="F310" i="6"/>
  <c r="AD284" i="6"/>
  <c r="F244" i="6"/>
  <c r="L218" i="6"/>
  <c r="F204" i="6"/>
  <c r="AD178" i="6"/>
  <c r="F138" i="6"/>
  <c r="L112" i="6"/>
  <c r="F98" i="6"/>
  <c r="AD72" i="6"/>
  <c r="F284" i="6"/>
  <c r="AD231" i="6"/>
  <c r="X218" i="6"/>
  <c r="F191" i="6"/>
  <c r="AJ165" i="6"/>
  <c r="F151" i="6"/>
  <c r="F72" i="6"/>
  <c r="AD310" i="6"/>
  <c r="X244" i="6"/>
  <c r="AD218" i="6"/>
  <c r="R178" i="6"/>
  <c r="F125" i="6"/>
  <c r="X98" i="6"/>
  <c r="AD85" i="6"/>
  <c r="AJ59" i="6"/>
  <c r="X310" i="6"/>
  <c r="AD297" i="6"/>
  <c r="AJ271" i="6"/>
  <c r="F218" i="6"/>
  <c r="L178" i="6"/>
  <c r="X85" i="6"/>
  <c r="AD59" i="6"/>
  <c r="X297" i="6"/>
  <c r="AD271" i="6"/>
  <c r="X271" i="6"/>
  <c r="AD204" i="6"/>
  <c r="X191" i="6"/>
  <c r="R125" i="6"/>
  <c r="X59" i="6"/>
  <c r="AD165" i="6"/>
  <c r="AD98" i="6"/>
  <c r="AD138" i="6"/>
  <c r="F297" i="6"/>
  <c r="R284" i="6"/>
  <c r="R271" i="6"/>
  <c r="X204" i="6"/>
  <c r="L191" i="6"/>
  <c r="X178" i="6"/>
  <c r="L125" i="6"/>
  <c r="R59" i="6"/>
  <c r="F112" i="6"/>
  <c r="F231" i="6"/>
  <c r="X165" i="6"/>
  <c r="R21" i="6"/>
  <c r="AD151" i="6"/>
  <c r="F165" i="6"/>
  <c r="L271" i="6"/>
  <c r="AD257" i="6"/>
  <c r="AJ231" i="6"/>
  <c r="F178" i="6"/>
  <c r="AJ112" i="6"/>
  <c r="L59" i="6"/>
  <c r="F257" i="6"/>
  <c r="L231" i="6"/>
  <c r="F85" i="6"/>
  <c r="R72" i="6"/>
  <c r="AJ218" i="6"/>
  <c r="X138" i="6"/>
  <c r="L72" i="6"/>
  <c r="F271" i="6"/>
  <c r="X257" i="6"/>
  <c r="AD244" i="6"/>
  <c r="X231" i="6"/>
  <c r="AD112" i="6"/>
  <c r="F59" i="6"/>
  <c r="L257" i="6"/>
  <c r="R231" i="6"/>
  <c r="X112" i="6"/>
  <c r="L85" i="6"/>
  <c r="R165" i="6"/>
  <c r="X72" i="6"/>
  <c r="L165" i="6"/>
  <c r="L297" i="6"/>
  <c r="X284" i="6"/>
  <c r="AJ125" i="6"/>
  <c r="X151" i="6"/>
  <c r="L151" i="6"/>
  <c r="AD125" i="6"/>
  <c r="AD191" i="6"/>
  <c r="X125" i="6"/>
  <c r="L284" i="6"/>
  <c r="AD21" i="6"/>
  <c r="X21" i="6"/>
  <c r="X9" i="6"/>
  <c r="AD45" i="6"/>
  <c r="AD9" i="6"/>
  <c r="AD33" i="6"/>
  <c r="AJ9" i="6"/>
  <c r="X45" i="6"/>
  <c r="X33" i="6"/>
  <c r="F45" i="6"/>
  <c r="L9" i="6"/>
  <c r="G33" i="1"/>
  <c r="G29" i="1"/>
  <c r="F95" i="1" s="1"/>
  <c r="G39" i="1"/>
  <c r="AD311" i="6" l="1"/>
  <c r="AD298" i="6"/>
  <c r="AJ285" i="6"/>
  <c r="AJ272" i="6"/>
  <c r="AD258" i="6"/>
  <c r="AD245" i="6"/>
  <c r="AJ232" i="6"/>
  <c r="AJ219" i="6"/>
  <c r="AD205" i="6"/>
  <c r="AD192" i="6"/>
  <c r="AJ179" i="6"/>
  <c r="AJ166" i="6"/>
  <c r="AD152" i="6"/>
  <c r="AD139" i="6"/>
  <c r="AJ126" i="6"/>
  <c r="AJ113" i="6"/>
  <c r="AD99" i="6"/>
  <c r="AD86" i="6"/>
  <c r="AJ73" i="6"/>
  <c r="AJ60" i="6"/>
  <c r="F286" i="7"/>
  <c r="F273" i="7"/>
  <c r="L259" i="7"/>
  <c r="L246" i="7"/>
  <c r="X233" i="7"/>
  <c r="X220" i="7"/>
  <c r="L206" i="7"/>
  <c r="L193" i="7"/>
  <c r="X180" i="7"/>
  <c r="X167" i="7"/>
  <c r="L153" i="7"/>
  <c r="L140" i="7"/>
  <c r="L311" i="6"/>
  <c r="L298" i="6"/>
  <c r="X285" i="6"/>
  <c r="X272" i="6"/>
  <c r="L258" i="6"/>
  <c r="L245" i="6"/>
  <c r="X232" i="6"/>
  <c r="X219" i="6"/>
  <c r="L205" i="6"/>
  <c r="L192" i="6"/>
  <c r="X179" i="6"/>
  <c r="X166" i="6"/>
  <c r="L152" i="6"/>
  <c r="L139" i="6"/>
  <c r="X126" i="6"/>
  <c r="X113" i="6"/>
  <c r="L99" i="6"/>
  <c r="L86" i="6"/>
  <c r="X73" i="6"/>
  <c r="X60" i="6"/>
  <c r="L233" i="7"/>
  <c r="L220" i="7"/>
  <c r="L180" i="7"/>
  <c r="L167" i="7"/>
  <c r="F311" i="6"/>
  <c r="F298" i="6"/>
  <c r="R285" i="6"/>
  <c r="R272" i="6"/>
  <c r="F258" i="6"/>
  <c r="F245" i="6"/>
  <c r="R232" i="6"/>
  <c r="R219" i="6"/>
  <c r="F205" i="6"/>
  <c r="F192" i="6"/>
  <c r="R179" i="6"/>
  <c r="R166" i="6"/>
  <c r="F152" i="6"/>
  <c r="F139" i="6"/>
  <c r="R126" i="6"/>
  <c r="R113" i="6"/>
  <c r="F99" i="6"/>
  <c r="F86" i="6"/>
  <c r="R73" i="6"/>
  <c r="R60" i="6"/>
  <c r="F233" i="7"/>
  <c r="F220" i="7"/>
  <c r="F180" i="7"/>
  <c r="F167" i="7"/>
  <c r="AD272" i="6"/>
  <c r="AD166" i="6"/>
  <c r="AD60" i="6"/>
  <c r="X273" i="7"/>
  <c r="R324" i="7"/>
  <c r="R167" i="7"/>
  <c r="R22" i="7"/>
  <c r="X87" i="7"/>
  <c r="X74" i="7"/>
  <c r="X61" i="7"/>
  <c r="R346" i="7"/>
  <c r="L272" i="6"/>
  <c r="L166" i="6"/>
  <c r="L60" i="6"/>
  <c r="AD299" i="7"/>
  <c r="X311" i="6"/>
  <c r="AD179" i="6"/>
  <c r="X139" i="6"/>
  <c r="X99" i="6"/>
  <c r="AJ286" i="7"/>
  <c r="AD273" i="7"/>
  <c r="F259" i="7"/>
  <c r="AD140" i="7"/>
  <c r="F127" i="7"/>
  <c r="X100" i="7"/>
  <c r="L335" i="7"/>
  <c r="X298" i="6"/>
  <c r="F272" i="6"/>
  <c r="L232" i="6"/>
  <c r="L312" i="7"/>
  <c r="X299" i="7"/>
  <c r="R273" i="7"/>
  <c r="F246" i="7"/>
  <c r="F232" i="6"/>
  <c r="X152" i="6"/>
  <c r="AD113" i="6"/>
  <c r="F312" i="7"/>
  <c r="L299" i="7"/>
  <c r="L273" i="7"/>
  <c r="AJ233" i="7"/>
  <c r="AD220" i="7"/>
  <c r="F206" i="7"/>
  <c r="AD193" i="7"/>
  <c r="X127" i="7"/>
  <c r="AJ61" i="7"/>
  <c r="R10" i="7"/>
  <c r="F179" i="6"/>
  <c r="L113" i="6"/>
  <c r="X259" i="7"/>
  <c r="AD246" i="7"/>
  <c r="R180" i="7"/>
  <c r="R127" i="7"/>
  <c r="F46" i="7"/>
  <c r="F74" i="7"/>
  <c r="AD87" i="7"/>
  <c r="X22" i="7"/>
  <c r="F22" i="7"/>
  <c r="X153" i="7"/>
  <c r="AJ22" i="7"/>
  <c r="X312" i="7"/>
  <c r="AJ74" i="7"/>
  <c r="AD74" i="7"/>
  <c r="AD22" i="7"/>
  <c r="AD126" i="6"/>
  <c r="X140" i="7"/>
  <c r="F114" i="7"/>
  <c r="L346" i="7"/>
  <c r="X34" i="7"/>
  <c r="L74" i="7"/>
  <c r="F346" i="7"/>
  <c r="L34" i="7"/>
  <c r="X206" i="7"/>
  <c r="AD167" i="7"/>
  <c r="F87" i="7"/>
  <c r="X258" i="6"/>
  <c r="AD232" i="6"/>
  <c r="F113" i="6"/>
  <c r="X246" i="7"/>
  <c r="AD233" i="7"/>
  <c r="L127" i="7"/>
  <c r="AJ114" i="7"/>
  <c r="L87" i="7"/>
  <c r="L46" i="7"/>
  <c r="AD153" i="7"/>
  <c r="L286" i="7"/>
  <c r="F285" i="6"/>
  <c r="F219" i="6"/>
  <c r="AJ273" i="7"/>
  <c r="AD61" i="7"/>
  <c r="X245" i="6"/>
  <c r="AJ22" i="6"/>
  <c r="AD286" i="7"/>
  <c r="R233" i="7"/>
  <c r="AD114" i="7"/>
  <c r="F100" i="7"/>
  <c r="L10" i="7"/>
  <c r="F61" i="7"/>
  <c r="AD73" i="6"/>
  <c r="F299" i="7"/>
  <c r="L73" i="6"/>
  <c r="F153" i="7"/>
  <c r="R335" i="7"/>
  <c r="X46" i="7"/>
  <c r="F335" i="7"/>
  <c r="AJ167" i="7"/>
  <c r="L22" i="7"/>
  <c r="F126" i="6"/>
  <c r="AD100" i="7"/>
  <c r="F34" i="7"/>
  <c r="F324" i="7"/>
  <c r="F193" i="7"/>
  <c r="X286" i="7"/>
  <c r="X114" i="7"/>
  <c r="F166" i="6"/>
  <c r="AD312" i="7"/>
  <c r="R286" i="7"/>
  <c r="R114" i="7"/>
  <c r="AJ10" i="7"/>
  <c r="AD34" i="7"/>
  <c r="X86" i="6"/>
  <c r="L114" i="7"/>
  <c r="AD219" i="6"/>
  <c r="R22" i="6"/>
  <c r="L285" i="6"/>
  <c r="L219" i="6"/>
  <c r="L126" i="6"/>
  <c r="AD206" i="7"/>
  <c r="X193" i="7"/>
  <c r="AD285" i="6"/>
  <c r="F73" i="6"/>
  <c r="R61" i="7"/>
  <c r="X10" i="7"/>
  <c r="F140" i="7"/>
  <c r="F10" i="7"/>
  <c r="AD259" i="7"/>
  <c r="AJ180" i="7"/>
  <c r="AD180" i="7"/>
  <c r="AJ220" i="7"/>
  <c r="X205" i="6"/>
  <c r="R74" i="7"/>
  <c r="AD127" i="7"/>
  <c r="L61" i="7"/>
  <c r="X192" i="6"/>
  <c r="F60" i="6"/>
  <c r="AJ127" i="7"/>
  <c r="L179" i="6"/>
  <c r="AD46" i="7"/>
  <c r="AD10" i="7"/>
  <c r="R220" i="7"/>
  <c r="L100" i="7"/>
  <c r="L324" i="7"/>
  <c r="AD10" i="6"/>
  <c r="X34" i="6"/>
  <c r="AD46" i="6"/>
  <c r="X22" i="6"/>
  <c r="X46" i="6"/>
  <c r="X10" i="6"/>
  <c r="AD22" i="6"/>
  <c r="AD34" i="6"/>
  <c r="AJ10" i="6"/>
  <c r="L10" i="6"/>
  <c r="L46" i="6"/>
  <c r="X311" i="7"/>
  <c r="X298" i="7"/>
  <c r="F311" i="7"/>
  <c r="F298" i="7"/>
  <c r="AD285" i="7"/>
  <c r="AD272" i="7"/>
  <c r="AD258" i="7"/>
  <c r="AD245" i="7"/>
  <c r="AD205" i="7"/>
  <c r="AD192" i="7"/>
  <c r="AD152" i="7"/>
  <c r="AD139" i="7"/>
  <c r="X285" i="7"/>
  <c r="X272" i="7"/>
  <c r="X258" i="7"/>
  <c r="X245" i="7"/>
  <c r="X205" i="7"/>
  <c r="X192" i="7"/>
  <c r="X152" i="7"/>
  <c r="X139" i="7"/>
  <c r="L311" i="7"/>
  <c r="AJ285" i="7"/>
  <c r="F219" i="7"/>
  <c r="X179" i="7"/>
  <c r="X126" i="7"/>
  <c r="X113" i="7"/>
  <c r="R285" i="7"/>
  <c r="AD298" i="7"/>
  <c r="X232" i="7"/>
  <c r="AD219" i="7"/>
  <c r="L205" i="7"/>
  <c r="L179" i="7"/>
  <c r="R166" i="7"/>
  <c r="R113" i="7"/>
  <c r="F45" i="7"/>
  <c r="X86" i="7"/>
  <c r="F73" i="7"/>
  <c r="R345" i="7"/>
  <c r="F33" i="7"/>
  <c r="F21" i="7"/>
  <c r="L245" i="7"/>
  <c r="L113" i="7"/>
  <c r="AD60" i="7"/>
  <c r="F345" i="7"/>
  <c r="L334" i="7"/>
  <c r="AD45" i="7"/>
  <c r="F9" i="7"/>
  <c r="L272" i="7"/>
  <c r="AJ219" i="7"/>
  <c r="L166" i="7"/>
  <c r="L73" i="7"/>
  <c r="R9" i="7"/>
  <c r="L33" i="7"/>
  <c r="AD126" i="7"/>
  <c r="AD232" i="7"/>
  <c r="AD9" i="7"/>
  <c r="F323" i="7"/>
  <c r="L45" i="7"/>
  <c r="R323" i="7"/>
  <c r="L139" i="7"/>
  <c r="AD113" i="7"/>
  <c r="F99" i="7"/>
  <c r="L345" i="7"/>
  <c r="AD33" i="7"/>
  <c r="F272" i="7"/>
  <c r="L258" i="7"/>
  <c r="X219" i="7"/>
  <c r="AJ179" i="7"/>
  <c r="F166" i="7"/>
  <c r="F86" i="7"/>
  <c r="AD99" i="7"/>
  <c r="L21" i="7"/>
  <c r="L60" i="7"/>
  <c r="AD86" i="7"/>
  <c r="R232" i="7"/>
  <c r="AD311" i="7"/>
  <c r="AJ113" i="7"/>
  <c r="L86" i="7"/>
  <c r="F113" i="7"/>
  <c r="F258" i="7"/>
  <c r="F245" i="7"/>
  <c r="R219" i="7"/>
  <c r="AD179" i="7"/>
  <c r="AJ126" i="7"/>
  <c r="X73" i="7"/>
  <c r="R126" i="7"/>
  <c r="L298" i="7"/>
  <c r="L126" i="7"/>
  <c r="AJ21" i="7"/>
  <c r="X99" i="7"/>
  <c r="X21" i="7"/>
  <c r="F126" i="7"/>
  <c r="AJ73" i="7"/>
  <c r="L323" i="7"/>
  <c r="F60" i="7"/>
  <c r="AJ9" i="7"/>
  <c r="AJ232" i="7"/>
  <c r="L219" i="7"/>
  <c r="R179" i="7"/>
  <c r="L99" i="7"/>
  <c r="F179" i="7"/>
  <c r="L285" i="7"/>
  <c r="L232" i="7"/>
  <c r="L152" i="7"/>
  <c r="X60" i="7"/>
  <c r="F285" i="7"/>
  <c r="F232" i="7"/>
  <c r="F152" i="7"/>
  <c r="L9" i="7"/>
  <c r="F139" i="7"/>
  <c r="R21" i="7"/>
  <c r="R334" i="7"/>
  <c r="F334" i="7"/>
  <c r="F205" i="7"/>
  <c r="AJ166" i="7"/>
  <c r="AJ60" i="7"/>
  <c r="X9" i="7"/>
  <c r="X33" i="7"/>
  <c r="L192" i="7"/>
  <c r="AD21" i="7"/>
  <c r="R73" i="7"/>
  <c r="AD166" i="7"/>
  <c r="F192" i="7"/>
  <c r="AD73" i="7"/>
  <c r="R60" i="7"/>
  <c r="AJ272" i="7"/>
  <c r="R272" i="7"/>
  <c r="X166" i="7"/>
  <c r="X45" i="7"/>
  <c r="F34" i="6"/>
  <c r="F46" i="6"/>
  <c r="L22" i="6"/>
  <c r="R10" i="6"/>
  <c r="F10" i="6"/>
  <c r="L34" i="6"/>
  <c r="F22" i="6"/>
  <c r="H62" i="5" l="1"/>
  <c r="H61" i="5"/>
  <c r="H60" i="5"/>
  <c r="H59" i="5"/>
  <c r="F52" i="5"/>
  <c r="F51" i="5"/>
  <c r="L50" i="5"/>
  <c r="F50" i="5"/>
  <c r="L49" i="5"/>
  <c r="F49" i="5"/>
  <c r="L48" i="5"/>
  <c r="F43" i="5"/>
  <c r="L38" i="5"/>
  <c r="F36" i="5"/>
  <c r="F35" i="5"/>
  <c r="F34" i="5"/>
  <c r="F33" i="5"/>
  <c r="L32" i="5"/>
  <c r="L29" i="5"/>
  <c r="F29" i="5"/>
  <c r="L21" i="5"/>
  <c r="F21" i="5"/>
  <c r="G16" i="5"/>
  <c r="L47" i="5" s="1"/>
  <c r="G15" i="5"/>
  <c r="L37" i="5" s="1"/>
  <c r="G14" i="5"/>
  <c r="L36" i="5" s="1"/>
  <c r="G13" i="5"/>
  <c r="L35" i="5" s="1"/>
  <c r="G12" i="5"/>
  <c r="L20" i="5" s="1"/>
  <c r="L22" i="5" s="1"/>
  <c r="L24" i="5" s="1"/>
  <c r="L45" i="5" s="1"/>
  <c r="G11" i="5"/>
  <c r="G10" i="5"/>
  <c r="F46" i="5" s="1"/>
  <c r="G9" i="5"/>
  <c r="F47" i="5" s="1"/>
  <c r="G8" i="5"/>
  <c r="F20" i="5" s="1"/>
  <c r="F22" i="5" s="1"/>
  <c r="F24" i="5" s="1"/>
  <c r="G7" i="5"/>
  <c r="L34" i="5" s="1"/>
  <c r="G6" i="5"/>
  <c r="H129" i="4"/>
  <c r="H128" i="4"/>
  <c r="H127" i="4"/>
  <c r="H126" i="4"/>
  <c r="H125" i="4"/>
  <c r="H124" i="4"/>
  <c r="H123" i="4"/>
  <c r="H122" i="4"/>
  <c r="H118" i="4"/>
  <c r="H117" i="4"/>
  <c r="H116" i="4"/>
  <c r="H115" i="4"/>
  <c r="H114" i="4"/>
  <c r="H113" i="4"/>
  <c r="H112" i="4"/>
  <c r="H111" i="4"/>
  <c r="H110" i="4"/>
  <c r="H109" i="4"/>
  <c r="H31" i="3"/>
  <c r="H27" i="3"/>
  <c r="G35" i="1"/>
  <c r="F8" i="3" s="1"/>
  <c r="J115" i="2"/>
  <c r="J114" i="2"/>
  <c r="J113" i="2"/>
  <c r="J112" i="2"/>
  <c r="J111" i="2"/>
  <c r="J110" i="2"/>
  <c r="J109" i="2"/>
  <c r="J103" i="2"/>
  <c r="J102" i="2"/>
  <c r="J101" i="2"/>
  <c r="J100" i="2"/>
  <c r="J99" i="2"/>
  <c r="J98" i="2"/>
  <c r="J97" i="2"/>
  <c r="J96" i="2"/>
  <c r="F20" i="3" l="1"/>
  <c r="L31" i="5"/>
  <c r="F31" i="5"/>
  <c r="L46" i="5"/>
  <c r="F45" i="5"/>
  <c r="L51" i="5"/>
  <c r="F32" i="5"/>
  <c r="F48" i="5"/>
  <c r="L33" i="5"/>
  <c r="F44" i="5"/>
  <c r="F53" i="5" s="1"/>
  <c r="F30" i="5"/>
  <c r="F37" i="5" s="1"/>
  <c r="L30" i="5"/>
  <c r="F39" i="5" l="1"/>
  <c r="F59" i="5"/>
  <c r="G59" i="5" s="1"/>
  <c r="F55" i="5"/>
  <c r="F60" i="5"/>
  <c r="G60" i="5" s="1"/>
  <c r="L53" i="5"/>
  <c r="F62" i="5"/>
  <c r="G62" i="5" s="1"/>
  <c r="L39" i="5"/>
  <c r="F61" i="5" l="1"/>
  <c r="G61" i="5" s="1"/>
  <c r="L41" i="5"/>
  <c r="G26" i="1" l="1"/>
  <c r="F148" i="1" s="1"/>
  <c r="G25" i="1"/>
  <c r="G24" i="1"/>
  <c r="F125" i="2" l="1"/>
  <c r="G125" i="2" s="1"/>
  <c r="F38" i="3"/>
  <c r="G38" i="3" s="1"/>
  <c r="F136" i="4"/>
  <c r="G136" i="4" s="1"/>
  <c r="F124" i="2"/>
  <c r="G124" i="2" s="1"/>
  <c r="F37" i="3"/>
  <c r="G37" i="3" s="1"/>
  <c r="F135" i="4"/>
  <c r="G135" i="4" s="1"/>
  <c r="F139" i="1"/>
  <c r="L148" i="1"/>
  <c r="G32" i="1"/>
  <c r="L128" i="1" s="1"/>
  <c r="G31" i="1"/>
  <c r="L127" i="1" s="1"/>
  <c r="G30" i="1"/>
  <c r="L126" i="1" s="1"/>
  <c r="G40" i="1"/>
  <c r="G28" i="1"/>
  <c r="F77" i="1" s="1"/>
  <c r="G27" i="1"/>
  <c r="L86" i="2" s="1"/>
  <c r="G38" i="1"/>
  <c r="G37" i="1"/>
  <c r="G36" i="1"/>
  <c r="G23" i="1"/>
  <c r="G22" i="1"/>
  <c r="G21" i="1"/>
  <c r="G20" i="1"/>
  <c r="G19" i="1"/>
  <c r="F127" i="1" s="1"/>
  <c r="G18" i="1"/>
  <c r="F110" i="1" s="1"/>
  <c r="G17" i="1"/>
  <c r="L110" i="1" s="1"/>
  <c r="G16" i="1"/>
  <c r="F119" i="1" s="1"/>
  <c r="G15" i="1"/>
  <c r="L118" i="1" s="1"/>
  <c r="G14" i="1"/>
  <c r="G13" i="1"/>
  <c r="G12" i="1"/>
  <c r="L130" i="1" s="1"/>
  <c r="G11" i="1"/>
  <c r="G10" i="1"/>
  <c r="G9" i="1"/>
  <c r="L45" i="1" l="1"/>
  <c r="L46" i="1" s="1"/>
  <c r="L48" i="1" s="1"/>
  <c r="L54" i="1" s="1"/>
  <c r="F64" i="1"/>
  <c r="F65" i="1" s="1"/>
  <c r="L67" i="1" s="1"/>
  <c r="R67" i="2"/>
  <c r="L87" i="2"/>
  <c r="AJ281" i="6"/>
  <c r="AJ268" i="6"/>
  <c r="AJ228" i="6"/>
  <c r="AJ215" i="6"/>
  <c r="AJ175" i="6"/>
  <c r="AJ162" i="6"/>
  <c r="AJ122" i="6"/>
  <c r="AJ109" i="6"/>
  <c r="AJ69" i="6"/>
  <c r="AJ56" i="6"/>
  <c r="X281" i="6"/>
  <c r="X268" i="6"/>
  <c r="X228" i="6"/>
  <c r="X215" i="6"/>
  <c r="X175" i="6"/>
  <c r="X162" i="6"/>
  <c r="X122" i="6"/>
  <c r="X109" i="6"/>
  <c r="X69" i="6"/>
  <c r="X56" i="6"/>
  <c r="R281" i="6"/>
  <c r="R268" i="6"/>
  <c r="R228" i="6"/>
  <c r="R215" i="6"/>
  <c r="R175" i="6"/>
  <c r="R162" i="6"/>
  <c r="R122" i="6"/>
  <c r="R109" i="6"/>
  <c r="R69" i="6"/>
  <c r="R56" i="6"/>
  <c r="AD215" i="6"/>
  <c r="AD109" i="6"/>
  <c r="AD294" i="6"/>
  <c r="AD254" i="6"/>
  <c r="L215" i="6"/>
  <c r="AD188" i="6"/>
  <c r="AD148" i="6"/>
  <c r="L109" i="6"/>
  <c r="AD82" i="6"/>
  <c r="L294" i="6"/>
  <c r="L254" i="6"/>
  <c r="AD228" i="6"/>
  <c r="L82" i="6"/>
  <c r="AD201" i="6"/>
  <c r="X135" i="6"/>
  <c r="AD56" i="6"/>
  <c r="AD268" i="6"/>
  <c r="X201" i="6"/>
  <c r="L135" i="6"/>
  <c r="L56" i="6"/>
  <c r="R18" i="6"/>
  <c r="L268" i="6"/>
  <c r="L228" i="6"/>
  <c r="F109" i="6"/>
  <c r="AD95" i="6"/>
  <c r="X82" i="6"/>
  <c r="F162" i="6"/>
  <c r="X307" i="6"/>
  <c r="L281" i="6"/>
  <c r="L188" i="6"/>
  <c r="F69" i="6"/>
  <c r="L201" i="6"/>
  <c r="L85" i="2"/>
  <c r="X254" i="6"/>
  <c r="F228" i="6"/>
  <c r="X95" i="6"/>
  <c r="F82" i="6"/>
  <c r="F135" i="6"/>
  <c r="L307" i="6"/>
  <c r="F281" i="6"/>
  <c r="F201" i="6"/>
  <c r="AD122" i="6"/>
  <c r="F254" i="6"/>
  <c r="AD162" i="6"/>
  <c r="L95" i="6"/>
  <c r="F148" i="6"/>
  <c r="X241" i="6"/>
  <c r="F122" i="6"/>
  <c r="X294" i="6"/>
  <c r="L162" i="6"/>
  <c r="X148" i="6"/>
  <c r="AD135" i="6"/>
  <c r="F95" i="6"/>
  <c r="AD69" i="6"/>
  <c r="AJ18" i="6"/>
  <c r="AD307" i="6"/>
  <c r="F294" i="6"/>
  <c r="AD281" i="6"/>
  <c r="X188" i="6"/>
  <c r="L148" i="6"/>
  <c r="L69" i="6"/>
  <c r="F307" i="6"/>
  <c r="AD241" i="6"/>
  <c r="F268" i="6"/>
  <c r="AD175" i="6"/>
  <c r="F188" i="6"/>
  <c r="F215" i="6"/>
  <c r="L122" i="6"/>
  <c r="L241" i="6"/>
  <c r="R65" i="2"/>
  <c r="F56" i="6"/>
  <c r="F241" i="6"/>
  <c r="L175" i="6"/>
  <c r="F175" i="6"/>
  <c r="X18" i="6"/>
  <c r="AD18" i="6"/>
  <c r="AD30" i="6"/>
  <c r="X42" i="6"/>
  <c r="X6" i="6"/>
  <c r="AJ6" i="6"/>
  <c r="X30" i="6"/>
  <c r="AD6" i="6"/>
  <c r="AD42" i="6"/>
  <c r="R64" i="2"/>
  <c r="R50" i="2"/>
  <c r="R9" i="2"/>
  <c r="AD295" i="6"/>
  <c r="AD242" i="6"/>
  <c r="AD189" i="6"/>
  <c r="AD136" i="6"/>
  <c r="AD83" i="6"/>
  <c r="F271" i="7"/>
  <c r="R321" i="7"/>
  <c r="L243" i="7"/>
  <c r="X218" i="7"/>
  <c r="L190" i="7"/>
  <c r="X165" i="7"/>
  <c r="L295" i="6"/>
  <c r="X270" i="6"/>
  <c r="L242" i="6"/>
  <c r="X217" i="6"/>
  <c r="L189" i="6"/>
  <c r="X164" i="6"/>
  <c r="L136" i="6"/>
  <c r="X111" i="6"/>
  <c r="L83" i="6"/>
  <c r="X58" i="6"/>
  <c r="AD283" i="7"/>
  <c r="AD270" i="7"/>
  <c r="F218" i="7"/>
  <c r="F165" i="7"/>
  <c r="L296" i="7"/>
  <c r="X59" i="7"/>
  <c r="L282" i="6"/>
  <c r="AD269" i="6"/>
  <c r="L176" i="6"/>
  <c r="AD163" i="6"/>
  <c r="L70" i="6"/>
  <c r="AD57" i="6"/>
  <c r="AD110" i="6"/>
  <c r="L111" i="7"/>
  <c r="R66" i="2"/>
  <c r="L229" i="6"/>
  <c r="AD70" i="6"/>
  <c r="AD282" i="6"/>
  <c r="F322" i="7"/>
  <c r="AD137" i="7"/>
  <c r="AD7" i="7"/>
  <c r="F217" i="6"/>
  <c r="L283" i="7"/>
  <c r="AD124" i="7"/>
  <c r="X112" i="7"/>
  <c r="F59" i="7"/>
  <c r="L332" i="7"/>
  <c r="F270" i="6"/>
  <c r="AD164" i="7"/>
  <c r="L7" i="7"/>
  <c r="AD243" i="7"/>
  <c r="F111" i="6"/>
  <c r="L57" i="6"/>
  <c r="AD19" i="7"/>
  <c r="L31" i="7"/>
  <c r="L163" i="6"/>
  <c r="L230" i="7"/>
  <c r="L58" i="7"/>
  <c r="AD84" i="7"/>
  <c r="L343" i="7"/>
  <c r="X271" i="7"/>
  <c r="F8" i="7"/>
  <c r="L216" i="6"/>
  <c r="F58" i="6"/>
  <c r="AD31" i="7"/>
  <c r="L269" i="6"/>
  <c r="AD177" i="7"/>
  <c r="AD216" i="6"/>
  <c r="AD123" i="6"/>
  <c r="L137" i="7"/>
  <c r="L124" i="7"/>
  <c r="X8" i="7"/>
  <c r="AD190" i="7"/>
  <c r="L123" i="6"/>
  <c r="AD111" i="7"/>
  <c r="AD176" i="6"/>
  <c r="AD217" i="7"/>
  <c r="AD296" i="7"/>
  <c r="L71" i="7"/>
  <c r="F112" i="7"/>
  <c r="L84" i="7"/>
  <c r="L270" i="7"/>
  <c r="L164" i="7"/>
  <c r="AD71" i="7"/>
  <c r="R21" i="2"/>
  <c r="AD229" i="6"/>
  <c r="AD58" i="7"/>
  <c r="L217" i="7"/>
  <c r="AD230" i="7"/>
  <c r="L19" i="7"/>
  <c r="L110" i="6"/>
  <c r="L177" i="7"/>
  <c r="F164" i="6"/>
  <c r="X8" i="6"/>
  <c r="AD7" i="6"/>
  <c r="AD31" i="6"/>
  <c r="AD19" i="6"/>
  <c r="R22" i="2"/>
  <c r="R10" i="2"/>
  <c r="L7" i="6"/>
  <c r="F8" i="6"/>
  <c r="L19" i="6"/>
  <c r="L31" i="6"/>
  <c r="L18" i="6"/>
  <c r="R6" i="6"/>
  <c r="F18" i="6"/>
  <c r="L6" i="6"/>
  <c r="L42" i="6"/>
  <c r="L30" i="6"/>
  <c r="F42" i="6"/>
  <c r="F6" i="6"/>
  <c r="F30" i="6"/>
  <c r="F79" i="1"/>
  <c r="F96" i="1"/>
  <c r="F97" i="1"/>
  <c r="F102" i="4"/>
  <c r="F91" i="4"/>
  <c r="L8" i="4"/>
  <c r="F8" i="4"/>
  <c r="F7" i="3"/>
  <c r="F134" i="4"/>
  <c r="G134" i="4" s="1"/>
  <c r="F36" i="3"/>
  <c r="G36" i="3" s="1"/>
  <c r="F126" i="2"/>
  <c r="G126" i="2" s="1"/>
  <c r="F39" i="3"/>
  <c r="G39" i="3" s="1"/>
  <c r="F137" i="4"/>
  <c r="G137" i="4" s="1"/>
  <c r="F100" i="4"/>
  <c r="L69" i="4"/>
  <c r="F133" i="4"/>
  <c r="G133" i="4" s="1"/>
  <c r="F89" i="4"/>
  <c r="F69" i="4"/>
  <c r="F35" i="3"/>
  <c r="G35" i="3" s="1"/>
  <c r="F8" i="2"/>
  <c r="F60" i="4"/>
  <c r="F40" i="4"/>
  <c r="F30" i="4"/>
  <c r="F70" i="4"/>
  <c r="F50" i="4"/>
  <c r="F20" i="4"/>
  <c r="F9" i="4"/>
  <c r="F80" i="4"/>
  <c r="L70" i="4"/>
  <c r="L40" i="4"/>
  <c r="L30" i="4"/>
  <c r="L20" i="4"/>
  <c r="L80" i="4"/>
  <c r="L60" i="4"/>
  <c r="L50" i="4"/>
  <c r="L9" i="4"/>
  <c r="L18" i="2"/>
  <c r="F18" i="2"/>
  <c r="L38" i="2"/>
  <c r="L8" i="2"/>
  <c r="F38" i="2"/>
  <c r="F28" i="2"/>
  <c r="L28" i="2"/>
  <c r="F7" i="2"/>
  <c r="F48" i="2"/>
  <c r="L27" i="2"/>
  <c r="L72" i="2"/>
  <c r="F122" i="2"/>
  <c r="G122" i="2" s="1"/>
  <c r="F123" i="2"/>
  <c r="G123" i="2" s="1"/>
  <c r="L139" i="1"/>
  <c r="L75" i="2"/>
  <c r="L51" i="2"/>
  <c r="F75" i="2"/>
  <c r="F63" i="2"/>
  <c r="F51" i="2"/>
  <c r="L63" i="2"/>
  <c r="F87" i="2"/>
  <c r="R53" i="2"/>
  <c r="F128" i="1"/>
  <c r="F129" i="1" s="1"/>
  <c r="F131" i="1" s="1"/>
  <c r="F120" i="1"/>
  <c r="F121" i="1" s="1"/>
  <c r="F123" i="1" s="1"/>
  <c r="F111" i="1"/>
  <c r="F112" i="1" s="1"/>
  <c r="F114" i="1" s="1"/>
  <c r="L140" i="1"/>
  <c r="F149" i="1"/>
  <c r="F150" i="1" s="1"/>
  <c r="F152" i="1" s="1"/>
  <c r="L149" i="1"/>
  <c r="L150" i="1" s="1"/>
  <c r="L152" i="1" s="1"/>
  <c r="L111" i="1"/>
  <c r="L112" i="1" s="1"/>
  <c r="L114" i="1" s="1"/>
  <c r="L119" i="1"/>
  <c r="L120" i="1" s="1"/>
  <c r="L122" i="1" s="1"/>
  <c r="F140" i="1"/>
  <c r="F141" i="1" s="1"/>
  <c r="F143" i="1" s="1"/>
  <c r="F86" i="2"/>
  <c r="L74" i="2"/>
  <c r="L50" i="2"/>
  <c r="F74" i="2"/>
  <c r="F50" i="2"/>
  <c r="R52" i="2"/>
  <c r="L62" i="2"/>
  <c r="F62" i="2"/>
  <c r="F73" i="2"/>
  <c r="L61" i="2"/>
  <c r="F85" i="2"/>
  <c r="F61" i="2"/>
  <c r="L73" i="2"/>
  <c r="F49" i="2"/>
  <c r="R51" i="2"/>
  <c r="L49" i="2"/>
  <c r="L55" i="1"/>
  <c r="L131" i="1"/>
  <c r="F78" i="1"/>
  <c r="F87" i="1"/>
  <c r="L56" i="1"/>
  <c r="L129" i="1"/>
  <c r="L80" i="1"/>
  <c r="L88" i="1"/>
  <c r="F86" i="1"/>
  <c r="L62" i="1"/>
  <c r="L63" i="1" s="1"/>
  <c r="F54" i="1"/>
  <c r="L70" i="1"/>
  <c r="L71" i="1"/>
  <c r="F69" i="1"/>
  <c r="F70" i="1" s="1"/>
  <c r="F72" i="1" s="1"/>
  <c r="L68" i="1" s="1"/>
  <c r="F308" i="6" l="1"/>
  <c r="F295" i="6"/>
  <c r="F255" i="6"/>
  <c r="F242" i="6"/>
  <c r="F202" i="6"/>
  <c r="F189" i="6"/>
  <c r="F149" i="6"/>
  <c r="F136" i="6"/>
  <c r="F96" i="6"/>
  <c r="F83" i="6"/>
  <c r="X283" i="7"/>
  <c r="X270" i="7"/>
  <c r="X295" i="6"/>
  <c r="X255" i="6"/>
  <c r="X189" i="6"/>
  <c r="X149" i="6"/>
  <c r="X83" i="6"/>
  <c r="F283" i="7"/>
  <c r="F256" i="7"/>
  <c r="F190" i="7"/>
  <c r="F177" i="7"/>
  <c r="X164" i="7"/>
  <c r="F150" i="7"/>
  <c r="X124" i="7"/>
  <c r="X111" i="7"/>
  <c r="F296" i="7"/>
  <c r="X176" i="6"/>
  <c r="F163" i="6"/>
  <c r="X243" i="7"/>
  <c r="F217" i="7"/>
  <c r="F31" i="7"/>
  <c r="F19" i="7"/>
  <c r="F269" i="6"/>
  <c r="X110" i="6"/>
  <c r="F270" i="7"/>
  <c r="L321" i="7"/>
  <c r="F229" i="6"/>
  <c r="X70" i="6"/>
  <c r="X230" i="7"/>
  <c r="X282" i="6"/>
  <c r="X150" i="7"/>
  <c r="X71" i="7"/>
  <c r="X57" i="6"/>
  <c r="F243" i="7"/>
  <c r="X7" i="7"/>
  <c r="F164" i="7"/>
  <c r="X84" i="7"/>
  <c r="X217" i="7"/>
  <c r="X31" i="7"/>
  <c r="X137" i="7"/>
  <c r="F332" i="7"/>
  <c r="F97" i="7"/>
  <c r="X269" i="6"/>
  <c r="F216" i="6"/>
  <c r="X256" i="7"/>
  <c r="X136" i="6"/>
  <c r="F70" i="6"/>
  <c r="F230" i="7"/>
  <c r="X203" i="7"/>
  <c r="F43" i="7"/>
  <c r="F71" i="7"/>
  <c r="X97" i="7"/>
  <c r="F343" i="7"/>
  <c r="X202" i="6"/>
  <c r="F321" i="7"/>
  <c r="F123" i="6"/>
  <c r="F57" i="6"/>
  <c r="X309" i="7"/>
  <c r="X177" i="7"/>
  <c r="F7" i="7"/>
  <c r="X308" i="6"/>
  <c r="F282" i="6"/>
  <c r="X216" i="6"/>
  <c r="X123" i="6"/>
  <c r="F203" i="7"/>
  <c r="F137" i="7"/>
  <c r="F124" i="7"/>
  <c r="X58" i="7"/>
  <c r="X19" i="7"/>
  <c r="X190" i="7"/>
  <c r="X43" i="7"/>
  <c r="F111" i="7"/>
  <c r="X242" i="6"/>
  <c r="F58" i="7"/>
  <c r="F176" i="6"/>
  <c r="X229" i="6"/>
  <c r="X163" i="6"/>
  <c r="F309" i="7"/>
  <c r="X296" i="7"/>
  <c r="F110" i="6"/>
  <c r="F84" i="7"/>
  <c r="X96" i="6"/>
  <c r="AJ19" i="6"/>
  <c r="F284" i="7"/>
  <c r="X231" i="7"/>
  <c r="X178" i="7"/>
  <c r="X283" i="6"/>
  <c r="X230" i="6"/>
  <c r="X177" i="6"/>
  <c r="X124" i="6"/>
  <c r="X71" i="6"/>
  <c r="L218" i="7"/>
  <c r="L165" i="7"/>
  <c r="AD310" i="7"/>
  <c r="F231" i="7"/>
  <c r="F178" i="7"/>
  <c r="R282" i="6"/>
  <c r="R176" i="6"/>
  <c r="R70" i="6"/>
  <c r="AD204" i="7"/>
  <c r="X72" i="7"/>
  <c r="AD270" i="6"/>
  <c r="AJ123" i="6"/>
  <c r="AD58" i="6"/>
  <c r="AD151" i="7"/>
  <c r="AJ20" i="7"/>
  <c r="AJ282" i="6"/>
  <c r="AD256" i="6"/>
  <c r="AD164" i="6"/>
  <c r="L164" i="6"/>
  <c r="F124" i="6"/>
  <c r="AD97" i="6"/>
  <c r="L257" i="7"/>
  <c r="AD309" i="6"/>
  <c r="F71" i="6"/>
  <c r="L8" i="7"/>
  <c r="L58" i="6"/>
  <c r="AD98" i="7"/>
  <c r="L310" i="7"/>
  <c r="L98" i="7"/>
  <c r="L59" i="7"/>
  <c r="L309" i="6"/>
  <c r="L150" i="6"/>
  <c r="AJ70" i="6"/>
  <c r="F20" i="7"/>
  <c r="L256" i="6"/>
  <c r="AJ176" i="6"/>
  <c r="AD111" i="6"/>
  <c r="AD44" i="7"/>
  <c r="L97" i="6"/>
  <c r="L151" i="7"/>
  <c r="R333" i="7"/>
  <c r="F283" i="6"/>
  <c r="AD203" i="6"/>
  <c r="L112" i="7"/>
  <c r="F177" i="6"/>
  <c r="R19" i="6"/>
  <c r="AD218" i="7"/>
  <c r="AD59" i="7"/>
  <c r="F72" i="7"/>
  <c r="AD8" i="7"/>
  <c r="AD271" i="7"/>
  <c r="AD257" i="7"/>
  <c r="AD165" i="7"/>
  <c r="L270" i="6"/>
  <c r="L203" i="6"/>
  <c r="R123" i="6"/>
  <c r="F230" i="6"/>
  <c r="L111" i="6"/>
  <c r="L271" i="7"/>
  <c r="AJ229" i="6"/>
  <c r="R20" i="7"/>
  <c r="X125" i="7"/>
  <c r="L204" i="7"/>
  <c r="F333" i="7"/>
  <c r="F125" i="7"/>
  <c r="AD217" i="6"/>
  <c r="X284" i="7"/>
  <c r="X20" i="7"/>
  <c r="L44" i="7"/>
  <c r="R229" i="6"/>
  <c r="AD112" i="7"/>
  <c r="L217" i="6"/>
  <c r="AD150" i="6"/>
  <c r="L333" i="7"/>
  <c r="X20" i="6"/>
  <c r="AD44" i="6"/>
  <c r="AD8" i="6"/>
  <c r="AD308" i="6"/>
  <c r="AD255" i="6"/>
  <c r="AD202" i="6"/>
  <c r="AD149" i="6"/>
  <c r="AD96" i="6"/>
  <c r="L256" i="7"/>
  <c r="L203" i="7"/>
  <c r="L150" i="7"/>
  <c r="L308" i="6"/>
  <c r="L255" i="6"/>
  <c r="L202" i="6"/>
  <c r="L149" i="6"/>
  <c r="L96" i="6"/>
  <c r="L231" i="7"/>
  <c r="L178" i="7"/>
  <c r="AJ269" i="6"/>
  <c r="AD230" i="6"/>
  <c r="AJ163" i="6"/>
  <c r="AD124" i="6"/>
  <c r="AJ57" i="6"/>
  <c r="AJ270" i="7"/>
  <c r="X85" i="7"/>
  <c r="R332" i="7"/>
  <c r="L230" i="6"/>
  <c r="L124" i="6"/>
  <c r="F243" i="6"/>
  <c r="AJ283" i="7"/>
  <c r="R270" i="7"/>
  <c r="AJ124" i="7"/>
  <c r="R58" i="7"/>
  <c r="L284" i="7"/>
  <c r="F190" i="6"/>
  <c r="R110" i="6"/>
  <c r="R283" i="7"/>
  <c r="R217" i="7"/>
  <c r="AD178" i="7"/>
  <c r="L125" i="7"/>
  <c r="L97" i="7"/>
  <c r="L20" i="7"/>
  <c r="X296" i="6"/>
  <c r="AD283" i="6"/>
  <c r="R163" i="6"/>
  <c r="R230" i="7"/>
  <c r="F138" i="7"/>
  <c r="R71" i="7"/>
  <c r="R343" i="7"/>
  <c r="AD72" i="7"/>
  <c r="F244" i="7"/>
  <c r="X297" i="7"/>
  <c r="R164" i="7"/>
  <c r="R111" i="7"/>
  <c r="AJ177" i="7"/>
  <c r="AJ7" i="7"/>
  <c r="F297" i="7"/>
  <c r="AD125" i="7"/>
  <c r="L283" i="6"/>
  <c r="AJ216" i="6"/>
  <c r="F137" i="6"/>
  <c r="AD203" i="7"/>
  <c r="X191" i="7"/>
  <c r="R124" i="7"/>
  <c r="R216" i="6"/>
  <c r="F85" i="7"/>
  <c r="AJ58" i="7"/>
  <c r="F32" i="7"/>
  <c r="AD309" i="7"/>
  <c r="AD231" i="7"/>
  <c r="F296" i="6"/>
  <c r="AD43" i="7"/>
  <c r="L177" i="6"/>
  <c r="L72" i="7"/>
  <c r="X32" i="7"/>
  <c r="L43" i="7"/>
  <c r="AD256" i="7"/>
  <c r="AJ71" i="7"/>
  <c r="X84" i="6"/>
  <c r="X190" i="6"/>
  <c r="AD177" i="6"/>
  <c r="X244" i="7"/>
  <c r="F191" i="7"/>
  <c r="AD20" i="7"/>
  <c r="X243" i="6"/>
  <c r="AJ164" i="7"/>
  <c r="AJ111" i="7"/>
  <c r="R269" i="6"/>
  <c r="R57" i="6"/>
  <c r="AJ217" i="7"/>
  <c r="AJ110" i="6"/>
  <c r="AD284" i="7"/>
  <c r="AD71" i="6"/>
  <c r="AD150" i="7"/>
  <c r="AJ230" i="7"/>
  <c r="X137" i="6"/>
  <c r="L71" i="6"/>
  <c r="L309" i="7"/>
  <c r="X138" i="7"/>
  <c r="R177" i="7"/>
  <c r="R7" i="7"/>
  <c r="L344" i="7"/>
  <c r="F344" i="7"/>
  <c r="F84" i="6"/>
  <c r="AD97" i="7"/>
  <c r="AD20" i="6"/>
  <c r="X32" i="6"/>
  <c r="AD43" i="6"/>
  <c r="AJ7" i="6"/>
  <c r="AJ280" i="6"/>
  <c r="L267" i="6"/>
  <c r="AJ267" i="6"/>
  <c r="F267" i="6"/>
  <c r="AD294" i="7"/>
  <c r="F268" i="7"/>
  <c r="AD267" i="6"/>
  <c r="X267" i="6"/>
  <c r="F306" i="6"/>
  <c r="L306" i="6"/>
  <c r="AD293" i="6"/>
  <c r="L293" i="6"/>
  <c r="AD306" i="6"/>
  <c r="F293" i="6"/>
  <c r="X306" i="6"/>
  <c r="F280" i="6"/>
  <c r="X293" i="6"/>
  <c r="L280" i="6"/>
  <c r="AD268" i="7"/>
  <c r="L281" i="7"/>
  <c r="X280" i="6"/>
  <c r="R280" i="6"/>
  <c r="X268" i="7"/>
  <c r="R281" i="7"/>
  <c r="X294" i="7"/>
  <c r="L268" i="7"/>
  <c r="AD280" i="6"/>
  <c r="R267" i="6"/>
  <c r="X281" i="7"/>
  <c r="R268" i="7"/>
  <c r="X307" i="7"/>
  <c r="F307" i="7"/>
  <c r="L307" i="7"/>
  <c r="L294" i="7"/>
  <c r="F294" i="7"/>
  <c r="F281" i="7"/>
  <c r="AD281" i="7"/>
  <c r="AJ281" i="7"/>
  <c r="AJ268" i="7"/>
  <c r="AD307" i="7"/>
  <c r="X161" i="6"/>
  <c r="F174" i="6"/>
  <c r="AJ174" i="6"/>
  <c r="L174" i="6"/>
  <c r="AJ162" i="7"/>
  <c r="L188" i="7"/>
  <c r="AD174" i="6"/>
  <c r="R174" i="6"/>
  <c r="X174" i="6"/>
  <c r="R161" i="6"/>
  <c r="X187" i="6"/>
  <c r="L161" i="6"/>
  <c r="AD187" i="6"/>
  <c r="F161" i="6"/>
  <c r="AD200" i="6"/>
  <c r="X200" i="6"/>
  <c r="F200" i="6"/>
  <c r="L200" i="6"/>
  <c r="AD201" i="7"/>
  <c r="AJ161" i="6"/>
  <c r="L187" i="6"/>
  <c r="X201" i="7"/>
  <c r="L201" i="7"/>
  <c r="AD161" i="6"/>
  <c r="F187" i="6"/>
  <c r="F201" i="7"/>
  <c r="X175" i="7"/>
  <c r="X188" i="7"/>
  <c r="AD188" i="7"/>
  <c r="F188" i="7"/>
  <c r="F175" i="7"/>
  <c r="L175" i="7"/>
  <c r="R175" i="7"/>
  <c r="R162" i="7"/>
  <c r="AJ175" i="7"/>
  <c r="L162" i="7"/>
  <c r="X162" i="7"/>
  <c r="F162" i="7"/>
  <c r="AD162" i="7"/>
  <c r="AD175" i="7"/>
  <c r="L253" i="6"/>
  <c r="F253" i="6"/>
  <c r="AD215" i="7"/>
  <c r="X253" i="6"/>
  <c r="F240" i="6"/>
  <c r="AD253" i="6"/>
  <c r="L240" i="6"/>
  <c r="AD240" i="6"/>
  <c r="L227" i="6"/>
  <c r="X240" i="6"/>
  <c r="R227" i="6"/>
  <c r="X227" i="6"/>
  <c r="R214" i="6"/>
  <c r="AD227" i="6"/>
  <c r="L214" i="6"/>
  <c r="AJ227" i="6"/>
  <c r="F227" i="6"/>
  <c r="AJ214" i="6"/>
  <c r="F214" i="6"/>
  <c r="X228" i="7"/>
  <c r="R228" i="7"/>
  <c r="AD214" i="6"/>
  <c r="AD228" i="7"/>
  <c r="R215" i="7"/>
  <c r="AJ215" i="7"/>
  <c r="F215" i="7"/>
  <c r="X214" i="6"/>
  <c r="AJ228" i="7"/>
  <c r="L215" i="7"/>
  <c r="X241" i="7"/>
  <c r="X215" i="7"/>
  <c r="L241" i="7"/>
  <c r="L254" i="7"/>
  <c r="F254" i="7"/>
  <c r="F241" i="7"/>
  <c r="F228" i="7"/>
  <c r="L228" i="7"/>
  <c r="AD241" i="7"/>
  <c r="AD254" i="7"/>
  <c r="X254" i="7"/>
  <c r="X68" i="6"/>
  <c r="R68" i="6"/>
  <c r="AD56" i="7"/>
  <c r="L56" i="7"/>
  <c r="AD68" i="6"/>
  <c r="R55" i="6"/>
  <c r="X94" i="6"/>
  <c r="L81" i="6"/>
  <c r="X69" i="7"/>
  <c r="AD94" i="6"/>
  <c r="F81" i="6"/>
  <c r="AD69" i="7"/>
  <c r="R56" i="7"/>
  <c r="X81" i="6"/>
  <c r="L68" i="6"/>
  <c r="AJ56" i="7"/>
  <c r="AD81" i="6"/>
  <c r="F68" i="6"/>
  <c r="AJ69" i="7"/>
  <c r="L69" i="7"/>
  <c r="AJ55" i="6"/>
  <c r="X56" i="7"/>
  <c r="R69" i="7"/>
  <c r="F69" i="7"/>
  <c r="AD55" i="6"/>
  <c r="F56" i="7"/>
  <c r="X55" i="6"/>
  <c r="F94" i="6"/>
  <c r="L94" i="6"/>
  <c r="L55" i="6"/>
  <c r="F55" i="6"/>
  <c r="X95" i="7"/>
  <c r="F82" i="7"/>
  <c r="AD82" i="7"/>
  <c r="L82" i="7"/>
  <c r="X82" i="7"/>
  <c r="L95" i="7"/>
  <c r="AJ68" i="6"/>
  <c r="F95" i="7"/>
  <c r="AD95" i="7"/>
  <c r="AJ121" i="6"/>
  <c r="L108" i="6"/>
  <c r="AJ108" i="6"/>
  <c r="F108" i="6"/>
  <c r="AD135" i="7"/>
  <c r="R122" i="7"/>
  <c r="AD108" i="6"/>
  <c r="X108" i="6"/>
  <c r="F147" i="6"/>
  <c r="L147" i="6"/>
  <c r="X147" i="6"/>
  <c r="L134" i="6"/>
  <c r="AD147" i="6"/>
  <c r="F134" i="6"/>
  <c r="AD134" i="6"/>
  <c r="F121" i="6"/>
  <c r="X134" i="6"/>
  <c r="L121" i="6"/>
  <c r="AD148" i="7"/>
  <c r="F122" i="7"/>
  <c r="X121" i="6"/>
  <c r="R121" i="6"/>
  <c r="X148" i="7"/>
  <c r="F135" i="7"/>
  <c r="F148" i="7"/>
  <c r="L122" i="7"/>
  <c r="AD121" i="6"/>
  <c r="R108" i="6"/>
  <c r="L148" i="7"/>
  <c r="L135" i="7"/>
  <c r="AD122" i="7"/>
  <c r="F109" i="7"/>
  <c r="AJ122" i="7"/>
  <c r="AJ109" i="7"/>
  <c r="AD109" i="7"/>
  <c r="X109" i="7"/>
  <c r="R109" i="7"/>
  <c r="L109" i="7"/>
  <c r="X122" i="7"/>
  <c r="X135" i="7"/>
  <c r="X19" i="6"/>
  <c r="X43" i="6"/>
  <c r="X31" i="6"/>
  <c r="X7" i="6"/>
  <c r="F7" i="6"/>
  <c r="F31" i="6"/>
  <c r="F19" i="6"/>
  <c r="F43" i="6"/>
  <c r="L44" i="6"/>
  <c r="L8" i="6"/>
  <c r="F20" i="6"/>
  <c r="F32" i="6"/>
  <c r="R7" i="6"/>
  <c r="L43" i="6"/>
  <c r="L20" i="6"/>
  <c r="F80" i="1"/>
  <c r="F82" i="1" s="1"/>
  <c r="F19" i="4"/>
  <c r="L19" i="4"/>
  <c r="F101" i="4"/>
  <c r="F90" i="4"/>
  <c r="L29" i="4"/>
  <c r="F19" i="3"/>
  <c r="F29" i="4"/>
  <c r="L59" i="4"/>
  <c r="F59" i="4"/>
  <c r="F39" i="4"/>
  <c r="L39" i="4"/>
  <c r="L49" i="4"/>
  <c r="F49" i="4"/>
  <c r="F17" i="2"/>
  <c r="F60" i="2"/>
  <c r="F27" i="2"/>
  <c r="F72" i="2"/>
  <c r="L7" i="2"/>
  <c r="L48" i="2"/>
  <c r="F37" i="2"/>
  <c r="F84" i="2"/>
  <c r="L141" i="1"/>
  <c r="L143" i="1" s="1"/>
  <c r="L17" i="2"/>
  <c r="L60" i="2"/>
  <c r="F88" i="1"/>
  <c r="F90" i="1" s="1"/>
  <c r="L132" i="1"/>
  <c r="L134" i="1" s="1"/>
  <c r="F55" i="1"/>
  <c r="F57" i="1" s="1"/>
  <c r="L69" i="1"/>
  <c r="L72" i="1" s="1"/>
  <c r="L57" i="1" l="1"/>
  <c r="R160" i="6" s="1"/>
  <c r="L53" i="1"/>
  <c r="AJ283" i="6"/>
  <c r="AJ270" i="6"/>
  <c r="AJ230" i="6"/>
  <c r="AJ217" i="6"/>
  <c r="AJ177" i="6"/>
  <c r="AJ164" i="6"/>
  <c r="AJ124" i="6"/>
  <c r="AJ111" i="6"/>
  <c r="AJ71" i="6"/>
  <c r="AJ58" i="6"/>
  <c r="L322" i="7"/>
  <c r="R283" i="6"/>
  <c r="R270" i="6"/>
  <c r="R230" i="6"/>
  <c r="R217" i="6"/>
  <c r="R177" i="6"/>
  <c r="R164" i="6"/>
  <c r="R124" i="6"/>
  <c r="R111" i="6"/>
  <c r="R71" i="6"/>
  <c r="R58" i="6"/>
  <c r="AJ20" i="6"/>
  <c r="AD297" i="7"/>
  <c r="R322" i="7"/>
  <c r="AD244" i="7"/>
  <c r="R231" i="7"/>
  <c r="AD138" i="7"/>
  <c r="R72" i="7"/>
  <c r="X310" i="7"/>
  <c r="F203" i="6"/>
  <c r="F310" i="7"/>
  <c r="L85" i="7"/>
  <c r="X44" i="7"/>
  <c r="L190" i="6"/>
  <c r="R20" i="6"/>
  <c r="X257" i="7"/>
  <c r="X256" i="6"/>
  <c r="AD243" i="6"/>
  <c r="R165" i="7"/>
  <c r="AJ72" i="7"/>
  <c r="R59" i="7"/>
  <c r="X98" i="7"/>
  <c r="X309" i="6"/>
  <c r="X150" i="6"/>
  <c r="L137" i="6"/>
  <c r="F204" i="7"/>
  <c r="AD191" i="7"/>
  <c r="L243" i="6"/>
  <c r="R218" i="7"/>
  <c r="R178" i="7"/>
  <c r="R19" i="7"/>
  <c r="AJ231" i="7"/>
  <c r="L296" i="6"/>
  <c r="R112" i="7"/>
  <c r="F44" i="7"/>
  <c r="AD32" i="7"/>
  <c r="AJ19" i="7"/>
  <c r="R8" i="7"/>
  <c r="AD84" i="6"/>
  <c r="F309" i="6"/>
  <c r="AD190" i="6"/>
  <c r="F150" i="6"/>
  <c r="AJ271" i="7"/>
  <c r="L191" i="7"/>
  <c r="AJ165" i="7"/>
  <c r="AJ59" i="7"/>
  <c r="AJ8" i="7"/>
  <c r="L244" i="7"/>
  <c r="AJ178" i="7"/>
  <c r="X203" i="6"/>
  <c r="L32" i="7"/>
  <c r="F257" i="7"/>
  <c r="AJ218" i="7"/>
  <c r="R271" i="7"/>
  <c r="F256" i="6"/>
  <c r="AJ125" i="7"/>
  <c r="X97" i="6"/>
  <c r="L297" i="7"/>
  <c r="AJ284" i="7"/>
  <c r="X151" i="7"/>
  <c r="R344" i="7"/>
  <c r="AD137" i="6"/>
  <c r="F97" i="6"/>
  <c r="F151" i="7"/>
  <c r="L138" i="7"/>
  <c r="AD85" i="7"/>
  <c r="F98" i="7"/>
  <c r="R125" i="7"/>
  <c r="R284" i="7"/>
  <c r="AJ112" i="7"/>
  <c r="AD296" i="6"/>
  <c r="L84" i="6"/>
  <c r="X204" i="7"/>
  <c r="AJ8" i="6"/>
  <c r="AD32" i="6"/>
  <c r="X44" i="6"/>
  <c r="AD267" i="7"/>
  <c r="AD306" i="7"/>
  <c r="AD293" i="7"/>
  <c r="X280" i="7"/>
  <c r="X267" i="7"/>
  <c r="X305" i="6"/>
  <c r="R266" i="6"/>
  <c r="X239" i="6"/>
  <c r="X246" i="6" s="1"/>
  <c r="AJ226" i="6"/>
  <c r="X199" i="6"/>
  <c r="AJ120" i="6"/>
  <c r="X93" i="6"/>
  <c r="R54" i="6"/>
  <c r="F306" i="7"/>
  <c r="F267" i="7"/>
  <c r="F240" i="7"/>
  <c r="X227" i="7"/>
  <c r="F200" i="7"/>
  <c r="F161" i="7"/>
  <c r="AD134" i="7"/>
  <c r="L305" i="6"/>
  <c r="L312" i="6" s="1"/>
  <c r="L314" i="6" s="1"/>
  <c r="L266" i="6"/>
  <c r="L273" i="6" s="1"/>
  <c r="L275" i="6" s="1"/>
  <c r="L239" i="6"/>
  <c r="AD226" i="6"/>
  <c r="AD233" i="6" s="1"/>
  <c r="L199" i="6"/>
  <c r="L206" i="6" s="1"/>
  <c r="L208" i="6" s="1"/>
  <c r="L160" i="6"/>
  <c r="L167" i="6" s="1"/>
  <c r="L133" i="6"/>
  <c r="AD120" i="6"/>
  <c r="AD127" i="6" s="1"/>
  <c r="L93" i="6"/>
  <c r="L100" i="6" s="1"/>
  <c r="L54" i="6"/>
  <c r="L61" i="6" s="1"/>
  <c r="L63" i="6" s="1"/>
  <c r="X266" i="6"/>
  <c r="X273" i="6" s="1"/>
  <c r="AJ213" i="6"/>
  <c r="AD133" i="6"/>
  <c r="F120" i="6"/>
  <c r="F127" i="6" s="1"/>
  <c r="AD93" i="6"/>
  <c r="AD100" i="6" s="1"/>
  <c r="AD67" i="6"/>
  <c r="AD74" i="6" s="1"/>
  <c r="X54" i="6"/>
  <c r="X61" i="6" s="1"/>
  <c r="X253" i="7"/>
  <c r="L200" i="7"/>
  <c r="AD121" i="7"/>
  <c r="F108" i="7"/>
  <c r="F29" i="7"/>
  <c r="F17" i="7"/>
  <c r="X292" i="6"/>
  <c r="X299" i="6" s="1"/>
  <c r="AD213" i="6"/>
  <c r="AD220" i="6" s="1"/>
  <c r="AJ173" i="6"/>
  <c r="F160" i="6"/>
  <c r="F167" i="6" s="1"/>
  <c r="F169" i="6" s="1"/>
  <c r="AD146" i="6"/>
  <c r="AD153" i="6" s="1"/>
  <c r="L120" i="6"/>
  <c r="L127" i="6" s="1"/>
  <c r="L129" i="6" s="1"/>
  <c r="L80" i="6"/>
  <c r="L293" i="7"/>
  <c r="L292" i="6"/>
  <c r="AD173" i="6"/>
  <c r="AD180" i="6" s="1"/>
  <c r="X146" i="6"/>
  <c r="F80" i="6"/>
  <c r="F87" i="6" s="1"/>
  <c r="F89" i="6" s="1"/>
  <c r="F293" i="7"/>
  <c r="AD187" i="7"/>
  <c r="R174" i="7"/>
  <c r="L161" i="7"/>
  <c r="AJ121" i="7"/>
  <c r="F68" i="7"/>
  <c r="X17" i="7"/>
  <c r="F292" i="6"/>
  <c r="F299" i="6" s="1"/>
  <c r="F301" i="6" s="1"/>
  <c r="L252" i="6"/>
  <c r="L259" i="6" s="1"/>
  <c r="L261" i="6" s="1"/>
  <c r="F239" i="6"/>
  <c r="F246" i="6" s="1"/>
  <c r="F248" i="6" s="1"/>
  <c r="X173" i="6"/>
  <c r="X180" i="6" s="1"/>
  <c r="AD54" i="6"/>
  <c r="AD61" i="6" s="1"/>
  <c r="AJ267" i="7"/>
  <c r="L240" i="7"/>
  <c r="AD161" i="7"/>
  <c r="F121" i="7"/>
  <c r="X55" i="7"/>
  <c r="AD41" i="7"/>
  <c r="L29" i="7"/>
  <c r="F133" i="6"/>
  <c r="F140" i="6" s="1"/>
  <c r="L107" i="6"/>
  <c r="L114" i="6" s="1"/>
  <c r="L116" i="6" s="1"/>
  <c r="AJ280" i="7"/>
  <c r="L214" i="7"/>
  <c r="F5" i="7"/>
  <c r="F107" i="6"/>
  <c r="F114" i="6" s="1"/>
  <c r="AD200" i="7"/>
  <c r="AJ17" i="7"/>
  <c r="R55" i="7"/>
  <c r="X186" i="6"/>
  <c r="X193" i="6" s="1"/>
  <c r="R17" i="6"/>
  <c r="F252" i="6"/>
  <c r="R173" i="6"/>
  <c r="AJ107" i="6"/>
  <c r="F54" i="6"/>
  <c r="F61" i="6" s="1"/>
  <c r="X293" i="7"/>
  <c r="R267" i="7"/>
  <c r="AJ214" i="7"/>
  <c r="X161" i="7"/>
  <c r="AJ108" i="7"/>
  <c r="L81" i="7"/>
  <c r="AD5" i="7"/>
  <c r="R61" i="2"/>
  <c r="L5" i="7"/>
  <c r="R214" i="7"/>
  <c r="L108" i="7"/>
  <c r="AJ160" i="6"/>
  <c r="L174" i="7"/>
  <c r="AJ67" i="6"/>
  <c r="L280" i="7"/>
  <c r="X200" i="7"/>
  <c r="X29" i="7"/>
  <c r="R213" i="6"/>
  <c r="R18" i="2"/>
  <c r="X226" i="6"/>
  <c r="X233" i="6" s="1"/>
  <c r="L173" i="6"/>
  <c r="L180" i="6" s="1"/>
  <c r="AD107" i="6"/>
  <c r="AD114" i="6" s="1"/>
  <c r="AD80" i="6"/>
  <c r="X306" i="7"/>
  <c r="L267" i="7"/>
  <c r="AD214" i="7"/>
  <c r="AJ174" i="7"/>
  <c r="R161" i="7"/>
  <c r="AD147" i="7"/>
  <c r="R68" i="7"/>
  <c r="F94" i="7"/>
  <c r="L41" i="7"/>
  <c r="X41" i="7"/>
  <c r="X147" i="7"/>
  <c r="AJ55" i="7"/>
  <c r="F55" i="7"/>
  <c r="X5" i="7"/>
  <c r="AD292" i="6"/>
  <c r="AJ227" i="7"/>
  <c r="F147" i="7"/>
  <c r="R280" i="7"/>
  <c r="AD227" i="7"/>
  <c r="F174" i="7"/>
  <c r="R227" i="7"/>
  <c r="X134" i="7"/>
  <c r="AD94" i="7"/>
  <c r="L83" i="2"/>
  <c r="AD199" i="6"/>
  <c r="AD206" i="6" s="1"/>
  <c r="L134" i="7"/>
  <c r="L186" i="6"/>
  <c r="L67" i="6"/>
  <c r="L74" i="6" s="1"/>
  <c r="L76" i="6" s="1"/>
  <c r="AJ68" i="7"/>
  <c r="X68" i="7"/>
  <c r="L17" i="7"/>
  <c r="R226" i="6"/>
  <c r="F173" i="6"/>
  <c r="F180" i="6" s="1"/>
  <c r="X107" i="6"/>
  <c r="X114" i="6" s="1"/>
  <c r="X80" i="6"/>
  <c r="X87" i="6" s="1"/>
  <c r="L306" i="7"/>
  <c r="X214" i="7"/>
  <c r="AD174" i="7"/>
  <c r="R108" i="7"/>
  <c r="R107" i="6"/>
  <c r="F93" i="6"/>
  <c r="AJ17" i="6"/>
  <c r="X174" i="7"/>
  <c r="L147" i="7"/>
  <c r="F41" i="7"/>
  <c r="AD68" i="7"/>
  <c r="AJ5" i="7"/>
  <c r="L146" i="6"/>
  <c r="L153" i="6" s="1"/>
  <c r="L155" i="6" s="1"/>
  <c r="AJ279" i="6"/>
  <c r="AD186" i="6"/>
  <c r="X67" i="6"/>
  <c r="X74" i="6" s="1"/>
  <c r="X187" i="7"/>
  <c r="F280" i="7"/>
  <c r="AD55" i="7"/>
  <c r="R5" i="7"/>
  <c r="R279" i="6"/>
  <c r="L213" i="6"/>
  <c r="L220" i="6" s="1"/>
  <c r="L222" i="6" s="1"/>
  <c r="F199" i="6"/>
  <c r="F227" i="7"/>
  <c r="AD160" i="6"/>
  <c r="AD167" i="6" s="1"/>
  <c r="F214" i="7"/>
  <c r="F146" i="6"/>
  <c r="F81" i="7"/>
  <c r="F305" i="6"/>
  <c r="X279" i="6"/>
  <c r="X286" i="6" s="1"/>
  <c r="R67" i="6"/>
  <c r="L227" i="7"/>
  <c r="AD253" i="7"/>
  <c r="L279" i="6"/>
  <c r="L286" i="6" s="1"/>
  <c r="L288" i="6" s="1"/>
  <c r="F213" i="6"/>
  <c r="F220" i="6" s="1"/>
  <c r="F222" i="6" s="1"/>
  <c r="L55" i="7"/>
  <c r="F279" i="6"/>
  <c r="F286" i="6" s="1"/>
  <c r="F288" i="6" s="1"/>
  <c r="L94" i="7"/>
  <c r="AJ266" i="6"/>
  <c r="F67" i="6"/>
  <c r="F74" i="6" s="1"/>
  <c r="F76" i="6" s="1"/>
  <c r="F253" i="7"/>
  <c r="AD266" i="6"/>
  <c r="AD273" i="6" s="1"/>
  <c r="AD240" i="7"/>
  <c r="AD252" i="6"/>
  <c r="AD259" i="6" s="1"/>
  <c r="F186" i="6"/>
  <c r="F193" i="6" s="1"/>
  <c r="X120" i="6"/>
  <c r="X127" i="6" s="1"/>
  <c r="X240" i="7"/>
  <c r="R17" i="7"/>
  <c r="R120" i="6"/>
  <c r="AJ54" i="6"/>
  <c r="AD81" i="7"/>
  <c r="X94" i="7"/>
  <c r="AD239" i="6"/>
  <c r="R121" i="7"/>
  <c r="L121" i="7"/>
  <c r="R6" i="2"/>
  <c r="AJ161" i="7"/>
  <c r="X41" i="6"/>
  <c r="X5" i="6"/>
  <c r="X11" i="6" s="1"/>
  <c r="X17" i="6"/>
  <c r="X23" i="6" s="1"/>
  <c r="X29" i="6"/>
  <c r="X35" i="6" s="1"/>
  <c r="AD5" i="6"/>
  <c r="AD11" i="6" s="1"/>
  <c r="AD29" i="6"/>
  <c r="AJ5" i="6"/>
  <c r="AD17" i="6"/>
  <c r="AD23" i="6" s="1"/>
  <c r="R49" i="2"/>
  <c r="R62" i="2"/>
  <c r="R20" i="2"/>
  <c r="R19" i="2"/>
  <c r="R63" i="2"/>
  <c r="R8" i="2"/>
  <c r="R7" i="2"/>
  <c r="L84" i="2"/>
  <c r="R8" i="6"/>
  <c r="F44" i="6"/>
  <c r="L32" i="6"/>
  <c r="F17" i="6"/>
  <c r="F23" i="6" s="1"/>
  <c r="F25" i="6" s="1"/>
  <c r="L29" i="6"/>
  <c r="L17" i="6"/>
  <c r="L23" i="6" s="1"/>
  <c r="L25" i="6" s="1"/>
  <c r="F29" i="6"/>
  <c r="F35" i="6" s="1"/>
  <c r="F37" i="6" s="1"/>
  <c r="L41" i="6"/>
  <c r="L47" i="6" s="1"/>
  <c r="L49" i="6" s="1"/>
  <c r="L5" i="6"/>
  <c r="L11" i="6" s="1"/>
  <c r="L13" i="6" s="1"/>
  <c r="F5" i="6"/>
  <c r="F11" i="6" s="1"/>
  <c r="R5" i="6"/>
  <c r="L78" i="1"/>
  <c r="L86" i="1"/>
  <c r="L79" i="1"/>
  <c r="F98" i="1"/>
  <c r="F100" i="1" s="1"/>
  <c r="L100" i="1" s="1"/>
  <c r="L101" i="1" s="1"/>
  <c r="L79" i="4"/>
  <c r="F79" i="4"/>
  <c r="F6" i="3"/>
  <c r="F9" i="3" s="1"/>
  <c r="F18" i="3"/>
  <c r="F21" i="3" s="1"/>
  <c r="L71" i="2"/>
  <c r="L76" i="2" s="1"/>
  <c r="R47" i="2"/>
  <c r="F47" i="2"/>
  <c r="F52" i="2" s="1"/>
  <c r="L6" i="2"/>
  <c r="L9" i="2" s="1"/>
  <c r="F6" i="2"/>
  <c r="F9" i="2" s="1"/>
  <c r="F71" i="2"/>
  <c r="F76" i="2" s="1"/>
  <c r="L36" i="2"/>
  <c r="L59" i="2"/>
  <c r="L64" i="2" s="1"/>
  <c r="L26" i="2"/>
  <c r="L29" i="2" s="1"/>
  <c r="F16" i="2"/>
  <c r="F19" i="2" s="1"/>
  <c r="L47" i="2"/>
  <c r="L52" i="2" s="1"/>
  <c r="F59" i="2"/>
  <c r="F64" i="2" s="1"/>
  <c r="L16" i="2"/>
  <c r="L19" i="2" s="1"/>
  <c r="F83" i="2"/>
  <c r="F88" i="2" s="1"/>
  <c r="R48" i="2"/>
  <c r="L37" i="2"/>
  <c r="L87" i="1"/>
  <c r="L89" i="1" l="1"/>
  <c r="F26" i="2"/>
  <c r="F29" i="2" s="1"/>
  <c r="H98" i="2" s="1"/>
  <c r="I98" i="2" s="1"/>
  <c r="F36" i="2"/>
  <c r="F39" i="2" s="1"/>
  <c r="F41" i="2" s="1"/>
  <c r="F41" i="6"/>
  <c r="F47" i="6" s="1"/>
  <c r="F49" i="6" s="1"/>
  <c r="AD41" i="6"/>
  <c r="AD47" i="6" s="1"/>
  <c r="Y325" i="6" s="1"/>
  <c r="Z325" i="6" s="1"/>
  <c r="X252" i="6"/>
  <c r="L253" i="7"/>
  <c r="AD17" i="7"/>
  <c r="X160" i="6"/>
  <c r="X167" i="6" s="1"/>
  <c r="Y357" i="6" s="1"/>
  <c r="Z357" i="6" s="1"/>
  <c r="L226" i="6"/>
  <c r="L233" i="6" s="1"/>
  <c r="L235" i="6" s="1"/>
  <c r="F134" i="7"/>
  <c r="X81" i="7"/>
  <c r="AD108" i="7"/>
  <c r="F187" i="7"/>
  <c r="AD29" i="7"/>
  <c r="L187" i="7"/>
  <c r="F226" i="6"/>
  <c r="F233" i="6" s="1"/>
  <c r="F235" i="6" s="1"/>
  <c r="F266" i="6"/>
  <c r="F273" i="6" s="1"/>
  <c r="F275" i="6" s="1"/>
  <c r="X213" i="6"/>
  <c r="X220" i="6" s="1"/>
  <c r="X222" i="6" s="1"/>
  <c r="L68" i="7"/>
  <c r="AD279" i="6"/>
  <c r="AD286" i="6" s="1"/>
  <c r="Y388" i="6" s="1"/>
  <c r="Z388" i="6" s="1"/>
  <c r="X108" i="7"/>
  <c r="X133" i="6"/>
  <c r="X140" i="6" s="1"/>
  <c r="X142" i="6" s="1"/>
  <c r="AD280" i="7"/>
  <c r="AD305" i="6"/>
  <c r="AD312" i="6" s="1"/>
  <c r="Y390" i="6" s="1"/>
  <c r="Z390" i="6" s="1"/>
  <c r="X121" i="7"/>
  <c r="G374" i="6"/>
  <c r="H374" i="6" s="1"/>
  <c r="R220" i="6"/>
  <c r="R222" i="6" s="1"/>
  <c r="G388" i="6"/>
  <c r="H388" i="6" s="1"/>
  <c r="G335" i="6"/>
  <c r="H335" i="6" s="1"/>
  <c r="L88" i="2"/>
  <c r="L90" i="2" s="1"/>
  <c r="AD87" i="6"/>
  <c r="AD89" i="6" s="1"/>
  <c r="F100" i="6"/>
  <c r="F102" i="6" s="1"/>
  <c r="X100" i="6"/>
  <c r="X102" i="6" s="1"/>
  <c r="F116" i="6"/>
  <c r="G344" i="6"/>
  <c r="H344" i="6" s="1"/>
  <c r="Y338" i="6"/>
  <c r="Z338" i="6" s="1"/>
  <c r="AD102" i="6"/>
  <c r="G345" i="6"/>
  <c r="H345" i="6" s="1"/>
  <c r="F129" i="6"/>
  <c r="G361" i="6"/>
  <c r="H361" i="6" s="1"/>
  <c r="L169" i="6"/>
  <c r="AD275" i="6"/>
  <c r="Y387" i="6"/>
  <c r="Z387" i="6" s="1"/>
  <c r="Y375" i="6"/>
  <c r="Z375" i="6" s="1"/>
  <c r="AD235" i="6"/>
  <c r="AD76" i="6"/>
  <c r="Y336" i="6"/>
  <c r="Z336" i="6" s="1"/>
  <c r="Y323" i="6"/>
  <c r="Z323" i="6" s="1"/>
  <c r="AD25" i="6"/>
  <c r="Y358" i="6"/>
  <c r="Z358" i="6" s="1"/>
  <c r="X182" i="6"/>
  <c r="X301" i="6"/>
  <c r="Y385" i="6"/>
  <c r="Z385" i="6" s="1"/>
  <c r="Y320" i="6"/>
  <c r="Z320" i="6" s="1"/>
  <c r="X37" i="6"/>
  <c r="Y371" i="6"/>
  <c r="Z371" i="6" s="1"/>
  <c r="X235" i="6"/>
  <c r="Y383" i="6"/>
  <c r="Z383" i="6" s="1"/>
  <c r="X275" i="6"/>
  <c r="Y359" i="6"/>
  <c r="Z359" i="6" s="1"/>
  <c r="X195" i="6"/>
  <c r="X248" i="6"/>
  <c r="Y372" i="6"/>
  <c r="Z372" i="6" s="1"/>
  <c r="Y345" i="6"/>
  <c r="Z345" i="6" s="1"/>
  <c r="X129" i="6"/>
  <c r="L87" i="6"/>
  <c r="L89" i="6" s="1"/>
  <c r="G338" i="6"/>
  <c r="H338" i="6" s="1"/>
  <c r="L102" i="6"/>
  <c r="AD116" i="6"/>
  <c r="Y348" i="6"/>
  <c r="Z348" i="6" s="1"/>
  <c r="Y335" i="6"/>
  <c r="Z335" i="6" s="1"/>
  <c r="AD63" i="6"/>
  <c r="AD222" i="6"/>
  <c r="Y374" i="6"/>
  <c r="Z374" i="6" s="1"/>
  <c r="G362" i="6"/>
  <c r="H362" i="6" s="1"/>
  <c r="L182" i="6"/>
  <c r="AD140" i="6"/>
  <c r="AJ61" i="6"/>
  <c r="Y319" i="6"/>
  <c r="Z319" i="6" s="1"/>
  <c r="X25" i="6"/>
  <c r="G346" i="6"/>
  <c r="H346" i="6" s="1"/>
  <c r="F142" i="6"/>
  <c r="Y362" i="6"/>
  <c r="Z362" i="6" s="1"/>
  <c r="AD182" i="6"/>
  <c r="G359" i="6"/>
  <c r="H359" i="6" s="1"/>
  <c r="F195" i="6"/>
  <c r="AD246" i="6"/>
  <c r="Y349" i="6"/>
  <c r="Z349" i="6" s="1"/>
  <c r="AD129" i="6"/>
  <c r="R286" i="6"/>
  <c r="R288" i="6" s="1"/>
  <c r="Y344" i="6"/>
  <c r="Z344" i="6" s="1"/>
  <c r="X116" i="6"/>
  <c r="G358" i="6"/>
  <c r="H358" i="6" s="1"/>
  <c r="F182" i="6"/>
  <c r="Y384" i="6"/>
  <c r="Z384" i="6" s="1"/>
  <c r="X288" i="6"/>
  <c r="Y322" i="6"/>
  <c r="Z322" i="6" s="1"/>
  <c r="AD13" i="6"/>
  <c r="AJ23" i="6"/>
  <c r="X153" i="6"/>
  <c r="R127" i="6"/>
  <c r="R129" i="6" s="1"/>
  <c r="X76" i="6"/>
  <c r="Y332" i="6"/>
  <c r="Z332" i="6" s="1"/>
  <c r="X13" i="6"/>
  <c r="Y318" i="6"/>
  <c r="Z318" i="6" s="1"/>
  <c r="Y361" i="6"/>
  <c r="Z361" i="6" s="1"/>
  <c r="AD169" i="6"/>
  <c r="AD208" i="6"/>
  <c r="Y364" i="6"/>
  <c r="Z364" i="6" s="1"/>
  <c r="Y377" i="6"/>
  <c r="Z377" i="6" s="1"/>
  <c r="AD261" i="6"/>
  <c r="X89" i="6"/>
  <c r="Y333" i="6"/>
  <c r="Z333" i="6" s="1"/>
  <c r="AD155" i="6"/>
  <c r="Y351" i="6"/>
  <c r="Z351" i="6" s="1"/>
  <c r="X63" i="6"/>
  <c r="Y331" i="6"/>
  <c r="Z331" i="6" s="1"/>
  <c r="AJ127" i="6"/>
  <c r="F206" i="6"/>
  <c r="AJ167" i="6"/>
  <c r="AJ180" i="6"/>
  <c r="L299" i="6"/>
  <c r="L301" i="6" s="1"/>
  <c r="R233" i="6"/>
  <c r="R235" i="6" s="1"/>
  <c r="L140" i="6"/>
  <c r="R114" i="6"/>
  <c r="R116" i="6" s="1"/>
  <c r="R167" i="6"/>
  <c r="R169" i="6" s="1"/>
  <c r="AD299" i="6"/>
  <c r="F312" i="6"/>
  <c r="F314" i="6" s="1"/>
  <c r="L246" i="6"/>
  <c r="L248" i="6" s="1"/>
  <c r="R61" i="6"/>
  <c r="G351" i="6"/>
  <c r="H351" i="6" s="1"/>
  <c r="G348" i="6"/>
  <c r="H348" i="6" s="1"/>
  <c r="G387" i="6"/>
  <c r="H387" i="6" s="1"/>
  <c r="G372" i="6"/>
  <c r="H372" i="6" s="1"/>
  <c r="G332" i="6"/>
  <c r="H332" i="6" s="1"/>
  <c r="G333" i="6"/>
  <c r="H333" i="6" s="1"/>
  <c r="X259" i="6"/>
  <c r="X206" i="6"/>
  <c r="R23" i="2"/>
  <c r="H105" i="2" s="1"/>
  <c r="I105" i="2" s="1"/>
  <c r="R74" i="6"/>
  <c r="R76" i="6" s="1"/>
  <c r="AJ114" i="6"/>
  <c r="G377" i="6"/>
  <c r="H377" i="6" s="1"/>
  <c r="X47" i="6"/>
  <c r="AJ273" i="6"/>
  <c r="AD193" i="6"/>
  <c r="AJ286" i="6"/>
  <c r="L81" i="1"/>
  <c r="F78" i="4" s="1"/>
  <c r="F81" i="4" s="1"/>
  <c r="R273" i="6"/>
  <c r="R275" i="6" s="1"/>
  <c r="F153" i="6"/>
  <c r="F155" i="6" s="1"/>
  <c r="X312" i="6"/>
  <c r="G385" i="6"/>
  <c r="H385" i="6" s="1"/>
  <c r="AJ220" i="6"/>
  <c r="R23" i="6"/>
  <c r="R25" i="6" s="1"/>
  <c r="L193" i="6"/>
  <c r="L195" i="6" s="1"/>
  <c r="G390" i="6"/>
  <c r="H390" i="6" s="1"/>
  <c r="AJ11" i="6"/>
  <c r="AD35" i="6"/>
  <c r="G384" i="6"/>
  <c r="H384" i="6" s="1"/>
  <c r="G370" i="6"/>
  <c r="H370" i="6" s="1"/>
  <c r="G336" i="6"/>
  <c r="H336" i="6" s="1"/>
  <c r="G364" i="6"/>
  <c r="H364" i="6" s="1"/>
  <c r="R180" i="6"/>
  <c r="R182" i="6" s="1"/>
  <c r="F259" i="6"/>
  <c r="F261" i="6" s="1"/>
  <c r="G334" i="6"/>
  <c r="H334" i="6" s="1"/>
  <c r="G349" i="6"/>
  <c r="H349" i="6" s="1"/>
  <c r="G331" i="6"/>
  <c r="H331" i="6" s="1"/>
  <c r="F63" i="6"/>
  <c r="AJ233" i="6"/>
  <c r="R11" i="2"/>
  <c r="H104" i="2" s="1"/>
  <c r="I104" i="2" s="1"/>
  <c r="AJ74" i="6"/>
  <c r="G357" i="6"/>
  <c r="H357" i="6" s="1"/>
  <c r="R68" i="2"/>
  <c r="H118" i="2" s="1"/>
  <c r="I118" i="2" s="1"/>
  <c r="R342" i="7"/>
  <c r="R347" i="7" s="1"/>
  <c r="L320" i="7"/>
  <c r="L325" i="7" s="1"/>
  <c r="F331" i="7"/>
  <c r="F336" i="7" s="1"/>
  <c r="F342" i="7"/>
  <c r="F347" i="7" s="1"/>
  <c r="R331" i="7"/>
  <c r="R336" i="7" s="1"/>
  <c r="F320" i="7"/>
  <c r="F325" i="7" s="1"/>
  <c r="L342" i="7"/>
  <c r="L347" i="7" s="1"/>
  <c r="L331" i="7"/>
  <c r="L336" i="7" s="1"/>
  <c r="R320" i="7"/>
  <c r="R325" i="7" s="1"/>
  <c r="G319" i="6"/>
  <c r="H319" i="6" s="1"/>
  <c r="G323" i="6"/>
  <c r="H323" i="6" s="1"/>
  <c r="G320" i="6"/>
  <c r="H320" i="6" s="1"/>
  <c r="G318" i="6"/>
  <c r="H318" i="6" s="1"/>
  <c r="F13" i="6"/>
  <c r="G322" i="6"/>
  <c r="H322" i="6" s="1"/>
  <c r="G325" i="6"/>
  <c r="H325" i="6" s="1"/>
  <c r="L35" i="6"/>
  <c r="L37" i="6" s="1"/>
  <c r="R11" i="6"/>
  <c r="R13" i="6" s="1"/>
  <c r="F104" i="1"/>
  <c r="F105" i="1" s="1"/>
  <c r="L95" i="1"/>
  <c r="L96" i="1" s="1"/>
  <c r="L39" i="2"/>
  <c r="L41" i="2" s="1"/>
  <c r="F23" i="3"/>
  <c r="F31" i="3"/>
  <c r="G31" i="3" s="1"/>
  <c r="F11" i="3"/>
  <c r="F27" i="3"/>
  <c r="G27" i="3" s="1"/>
  <c r="H102" i="2"/>
  <c r="I102" i="2" s="1"/>
  <c r="L31" i="2"/>
  <c r="H111" i="2"/>
  <c r="I111" i="2" s="1"/>
  <c r="F78" i="2"/>
  <c r="F11" i="2"/>
  <c r="H96" i="2"/>
  <c r="I96" i="2" s="1"/>
  <c r="L11" i="2"/>
  <c r="H100" i="2"/>
  <c r="I100" i="2" s="1"/>
  <c r="F54" i="2"/>
  <c r="H109" i="2"/>
  <c r="I109" i="2" s="1"/>
  <c r="H101" i="2"/>
  <c r="I101" i="2" s="1"/>
  <c r="L21" i="2"/>
  <c r="H110" i="2"/>
  <c r="I110" i="2" s="1"/>
  <c r="F66" i="2"/>
  <c r="H115" i="2"/>
  <c r="I115" i="2" s="1"/>
  <c r="L78" i="2"/>
  <c r="H114" i="2"/>
  <c r="I114" i="2" s="1"/>
  <c r="L66" i="2"/>
  <c r="H112" i="2"/>
  <c r="I112" i="2" s="1"/>
  <c r="F90" i="2"/>
  <c r="R54" i="2"/>
  <c r="H117" i="2" s="1"/>
  <c r="I117" i="2" s="1"/>
  <c r="H113" i="2"/>
  <c r="I113" i="2" s="1"/>
  <c r="L54" i="2"/>
  <c r="F21" i="2"/>
  <c r="H97" i="2"/>
  <c r="I97" i="2" s="1"/>
  <c r="AD49" i="6" l="1"/>
  <c r="G371" i="6"/>
  <c r="H371" i="6" s="1"/>
  <c r="G383" i="6"/>
  <c r="H383" i="6" s="1"/>
  <c r="H99" i="2"/>
  <c r="I99" i="2" s="1"/>
  <c r="F31" i="2"/>
  <c r="AD314" i="6"/>
  <c r="AD288" i="6"/>
  <c r="G375" i="6"/>
  <c r="H375" i="6" s="1"/>
  <c r="Y346" i="6"/>
  <c r="Z346" i="6" s="1"/>
  <c r="Y370" i="6"/>
  <c r="Z370" i="6" s="1"/>
  <c r="X169" i="6"/>
  <c r="G378" i="6"/>
  <c r="H378" i="6" s="1"/>
  <c r="G337" i="6"/>
  <c r="H337" i="6" s="1"/>
  <c r="G392" i="6"/>
  <c r="H392" i="6" s="1"/>
  <c r="Y334" i="6"/>
  <c r="Z334" i="6" s="1"/>
  <c r="G347" i="6"/>
  <c r="H347" i="6" s="1"/>
  <c r="H116" i="2"/>
  <c r="I116" i="2" s="1"/>
  <c r="F18" i="4"/>
  <c r="F21" i="4" s="1"/>
  <c r="F110" i="4" s="1"/>
  <c r="G110" i="4" s="1"/>
  <c r="F48" i="4"/>
  <c r="Y337" i="6"/>
  <c r="Z337" i="6" s="1"/>
  <c r="G435" i="7"/>
  <c r="H435" i="7" s="1"/>
  <c r="L338" i="7"/>
  <c r="G436" i="7"/>
  <c r="H436" i="7" s="1"/>
  <c r="L349" i="7"/>
  <c r="G438" i="7"/>
  <c r="H438" i="7" s="1"/>
  <c r="R338" i="7"/>
  <c r="G433" i="7"/>
  <c r="H433" i="7" s="1"/>
  <c r="F349" i="7"/>
  <c r="F38" i="4"/>
  <c r="F41" i="4" s="1"/>
  <c r="F43" i="4" s="1"/>
  <c r="G432" i="7"/>
  <c r="H432" i="7" s="1"/>
  <c r="F338" i="7"/>
  <c r="G376" i="6"/>
  <c r="H376" i="6" s="1"/>
  <c r="G437" i="7"/>
  <c r="H437" i="7" s="1"/>
  <c r="R327" i="7"/>
  <c r="G431" i="7"/>
  <c r="H431" i="7" s="1"/>
  <c r="F327" i="7"/>
  <c r="G434" i="7"/>
  <c r="H434" i="7" s="1"/>
  <c r="L327" i="7"/>
  <c r="F58" i="4"/>
  <c r="F61" i="4" s="1"/>
  <c r="F63" i="4" s="1"/>
  <c r="G439" i="7"/>
  <c r="H439" i="7" s="1"/>
  <c r="R349" i="7"/>
  <c r="G327" i="6"/>
  <c r="H327" i="6" s="1"/>
  <c r="Y340" i="6"/>
  <c r="Z340" i="6" s="1"/>
  <c r="AJ76" i="6"/>
  <c r="AJ275" i="6"/>
  <c r="Y391" i="6"/>
  <c r="Z391" i="6" s="1"/>
  <c r="Y379" i="6"/>
  <c r="Z379" i="6" s="1"/>
  <c r="AJ235" i="6"/>
  <c r="Y378" i="6"/>
  <c r="Z378" i="6" s="1"/>
  <c r="AJ222" i="6"/>
  <c r="G360" i="6"/>
  <c r="H360" i="6" s="1"/>
  <c r="F208" i="6"/>
  <c r="Y353" i="6"/>
  <c r="Z353" i="6" s="1"/>
  <c r="AJ129" i="6"/>
  <c r="X155" i="6"/>
  <c r="Y347" i="6"/>
  <c r="Z347" i="6" s="1"/>
  <c r="G353" i="6"/>
  <c r="H353" i="6" s="1"/>
  <c r="AJ25" i="6"/>
  <c r="Y327" i="6"/>
  <c r="Z327" i="6" s="1"/>
  <c r="G340" i="6"/>
  <c r="H340" i="6" s="1"/>
  <c r="X261" i="6"/>
  <c r="Y373" i="6"/>
  <c r="Z373" i="6" s="1"/>
  <c r="AD142" i="6"/>
  <c r="Y350" i="6"/>
  <c r="Z350" i="6" s="1"/>
  <c r="AD195" i="6"/>
  <c r="Y363" i="6"/>
  <c r="Z363" i="6" s="1"/>
  <c r="Y321" i="6"/>
  <c r="Z321" i="6" s="1"/>
  <c r="X49" i="6"/>
  <c r="AJ182" i="6"/>
  <c r="Y366" i="6"/>
  <c r="Z366" i="6" s="1"/>
  <c r="Y352" i="6"/>
  <c r="Z352" i="6" s="1"/>
  <c r="AJ116" i="6"/>
  <c r="Y360" i="6"/>
  <c r="Z360" i="6" s="1"/>
  <c r="X208" i="6"/>
  <c r="Y376" i="6"/>
  <c r="Z376" i="6" s="1"/>
  <c r="AD248" i="6"/>
  <c r="G379" i="6"/>
  <c r="H379" i="6" s="1"/>
  <c r="AJ288" i="6"/>
  <c r="Y392" i="6"/>
  <c r="Z392" i="6" s="1"/>
  <c r="AD37" i="6"/>
  <c r="Y324" i="6"/>
  <c r="Z324" i="6" s="1"/>
  <c r="G350" i="6"/>
  <c r="H350" i="6" s="1"/>
  <c r="L142" i="6"/>
  <c r="AJ13" i="6"/>
  <c r="Y326" i="6"/>
  <c r="Z326" i="6" s="1"/>
  <c r="AJ169" i="6"/>
  <c r="Y365" i="6"/>
  <c r="Z365" i="6" s="1"/>
  <c r="G339" i="6"/>
  <c r="H339" i="6" s="1"/>
  <c r="R63" i="6"/>
  <c r="Y386" i="6"/>
  <c r="Z386" i="6" s="1"/>
  <c r="X314" i="6"/>
  <c r="Y389" i="6"/>
  <c r="Z389" i="6" s="1"/>
  <c r="AD301" i="6"/>
  <c r="G352" i="6"/>
  <c r="H352" i="6" s="1"/>
  <c r="G386" i="6"/>
  <c r="H386" i="6" s="1"/>
  <c r="Y339" i="6"/>
  <c r="Z339" i="6" s="1"/>
  <c r="AJ63" i="6"/>
  <c r="F68" i="4"/>
  <c r="F71" i="4" s="1"/>
  <c r="F115" i="4" s="1"/>
  <c r="G115" i="4" s="1"/>
  <c r="F7" i="4"/>
  <c r="F10" i="4" s="1"/>
  <c r="F109" i="4" s="1"/>
  <c r="G109" i="4" s="1"/>
  <c r="G389" i="6"/>
  <c r="H389" i="6" s="1"/>
  <c r="G365" i="6"/>
  <c r="H365" i="6" s="1"/>
  <c r="F28" i="4"/>
  <c r="F31" i="4" s="1"/>
  <c r="F111" i="4" s="1"/>
  <c r="G111" i="4" s="1"/>
  <c r="F88" i="4"/>
  <c r="F92" i="4" s="1"/>
  <c r="F94" i="4" s="1"/>
  <c r="F99" i="4"/>
  <c r="F103" i="4" s="1"/>
  <c r="F118" i="4" s="1"/>
  <c r="G118" i="4" s="1"/>
  <c r="G363" i="6"/>
  <c r="H363" i="6" s="1"/>
  <c r="G391" i="6"/>
  <c r="H391" i="6" s="1"/>
  <c r="G373" i="6"/>
  <c r="H373" i="6" s="1"/>
  <c r="G366" i="6"/>
  <c r="H366" i="6" s="1"/>
  <c r="X308" i="7"/>
  <c r="X313" i="7" s="1"/>
  <c r="X315" i="7" s="1"/>
  <c r="X295" i="7"/>
  <c r="X300" i="7" s="1"/>
  <c r="X302" i="7" s="1"/>
  <c r="X229" i="7"/>
  <c r="X234" i="7" s="1"/>
  <c r="X236" i="7" s="1"/>
  <c r="X216" i="7"/>
  <c r="X221" i="7" s="1"/>
  <c r="X223" i="7" s="1"/>
  <c r="X176" i="7"/>
  <c r="X181" i="7" s="1"/>
  <c r="X183" i="7" s="1"/>
  <c r="X163" i="7"/>
  <c r="X168" i="7" s="1"/>
  <c r="X170" i="7" s="1"/>
  <c r="AD255" i="7"/>
  <c r="AD260" i="7" s="1"/>
  <c r="AD262" i="7" s="1"/>
  <c r="AD242" i="7"/>
  <c r="AD247" i="7" s="1"/>
  <c r="AD249" i="7" s="1"/>
  <c r="AD202" i="7"/>
  <c r="AD207" i="7" s="1"/>
  <c r="AD209" i="7" s="1"/>
  <c r="AD189" i="7"/>
  <c r="AD194" i="7" s="1"/>
  <c r="AD196" i="7" s="1"/>
  <c r="AD149" i="7"/>
  <c r="AD154" i="7" s="1"/>
  <c r="AD156" i="7" s="1"/>
  <c r="X255" i="7"/>
  <c r="X260" i="7" s="1"/>
  <c r="X262" i="7" s="1"/>
  <c r="X242" i="7"/>
  <c r="X247" i="7" s="1"/>
  <c r="X249" i="7" s="1"/>
  <c r="X202" i="7"/>
  <c r="X207" i="7" s="1"/>
  <c r="X209" i="7" s="1"/>
  <c r="X189" i="7"/>
  <c r="X194" i="7" s="1"/>
  <c r="X196" i="7" s="1"/>
  <c r="X149" i="7"/>
  <c r="X154" i="7" s="1"/>
  <c r="X156" i="7" s="1"/>
  <c r="X83" i="7"/>
  <c r="X88" i="7" s="1"/>
  <c r="X90" i="7" s="1"/>
  <c r="X70" i="7"/>
  <c r="X75" i="7" s="1"/>
  <c r="X77" i="7" s="1"/>
  <c r="X57" i="7"/>
  <c r="X62" i="7" s="1"/>
  <c r="AJ282" i="7"/>
  <c r="AJ287" i="7" s="1"/>
  <c r="AJ289" i="7" s="1"/>
  <c r="AJ229" i="7"/>
  <c r="AJ234" i="7" s="1"/>
  <c r="AJ236" i="7" s="1"/>
  <c r="AD163" i="7"/>
  <c r="AD168" i="7" s="1"/>
  <c r="AD170" i="7" s="1"/>
  <c r="AD136" i="7"/>
  <c r="AD141" i="7" s="1"/>
  <c r="AD143" i="7" s="1"/>
  <c r="AD96" i="7"/>
  <c r="AD101" i="7" s="1"/>
  <c r="AD103" i="7" s="1"/>
  <c r="AJ269" i="7"/>
  <c r="AJ274" i="7" s="1"/>
  <c r="AJ276" i="7" s="1"/>
  <c r="AJ110" i="7"/>
  <c r="AJ115" i="7" s="1"/>
  <c r="AJ117" i="7" s="1"/>
  <c r="AJ18" i="7"/>
  <c r="AJ23" i="7" s="1"/>
  <c r="AJ25" i="7" s="1"/>
  <c r="X6" i="7"/>
  <c r="X11" i="7" s="1"/>
  <c r="AD308" i="7"/>
  <c r="AD313" i="7" s="1"/>
  <c r="AD315" i="7" s="1"/>
  <c r="AD216" i="7"/>
  <c r="AD221" i="7" s="1"/>
  <c r="AD223" i="7" s="1"/>
  <c r="AJ176" i="7"/>
  <c r="AJ181" i="7" s="1"/>
  <c r="AJ183" i="7" s="1"/>
  <c r="AD70" i="7"/>
  <c r="AD75" i="7" s="1"/>
  <c r="AD77" i="7" s="1"/>
  <c r="AJ6" i="7"/>
  <c r="AJ11" i="7" s="1"/>
  <c r="AJ13" i="7" s="1"/>
  <c r="AD57" i="7"/>
  <c r="AD62" i="7" s="1"/>
  <c r="AD64" i="7" s="1"/>
  <c r="AD83" i="7"/>
  <c r="AD88" i="7" s="1"/>
  <c r="AD90" i="7" s="1"/>
  <c r="AD6" i="7"/>
  <c r="AD11" i="7" s="1"/>
  <c r="AD13" i="7" s="1"/>
  <c r="AJ70" i="7"/>
  <c r="AJ75" i="7" s="1"/>
  <c r="AJ77" i="7" s="1"/>
  <c r="X18" i="7"/>
  <c r="X23" i="7" s="1"/>
  <c r="X25" i="7" s="1"/>
  <c r="X110" i="7"/>
  <c r="X115" i="7" s="1"/>
  <c r="X117" i="7" s="1"/>
  <c r="AD282" i="7"/>
  <c r="AD287" i="7" s="1"/>
  <c r="AD289" i="7" s="1"/>
  <c r="AD176" i="7"/>
  <c r="AD181" i="7" s="1"/>
  <c r="AD183" i="7" s="1"/>
  <c r="AD18" i="7"/>
  <c r="AD23" i="7" s="1"/>
  <c r="AD25" i="7" s="1"/>
  <c r="X136" i="7"/>
  <c r="X141" i="7" s="1"/>
  <c r="X143" i="7" s="1"/>
  <c r="AD123" i="7"/>
  <c r="AD128" i="7" s="1"/>
  <c r="AD130" i="7" s="1"/>
  <c r="X123" i="7"/>
  <c r="X128" i="7" s="1"/>
  <c r="X130" i="7" s="1"/>
  <c r="AD110" i="7"/>
  <c r="AD115" i="7" s="1"/>
  <c r="AD117" i="7" s="1"/>
  <c r="X96" i="7"/>
  <c r="X101" i="7" s="1"/>
  <c r="X103" i="7" s="1"/>
  <c r="X282" i="7"/>
  <c r="X287" i="7" s="1"/>
  <c r="X289" i="7" s="1"/>
  <c r="X30" i="7"/>
  <c r="X35" i="7" s="1"/>
  <c r="X37" i="7" s="1"/>
  <c r="AD42" i="7"/>
  <c r="AD47" i="7" s="1"/>
  <c r="AD49" i="7" s="1"/>
  <c r="AD269" i="7"/>
  <c r="AD274" i="7" s="1"/>
  <c r="AD276" i="7" s="1"/>
  <c r="X269" i="7"/>
  <c r="X274" i="7" s="1"/>
  <c r="X276" i="7" s="1"/>
  <c r="AJ163" i="7"/>
  <c r="AJ168" i="7" s="1"/>
  <c r="AJ170" i="7" s="1"/>
  <c r="AD229" i="7"/>
  <c r="AD234" i="7" s="1"/>
  <c r="AD236" i="7" s="1"/>
  <c r="AJ123" i="7"/>
  <c r="AJ128" i="7" s="1"/>
  <c r="AJ130" i="7" s="1"/>
  <c r="AJ216" i="7"/>
  <c r="AJ221" i="7" s="1"/>
  <c r="AJ223" i="7" s="1"/>
  <c r="AD30" i="7"/>
  <c r="AD35" i="7" s="1"/>
  <c r="AD37" i="7" s="1"/>
  <c r="X42" i="7"/>
  <c r="X47" i="7" s="1"/>
  <c r="X49" i="7" s="1"/>
  <c r="AD295" i="7"/>
  <c r="AD300" i="7" s="1"/>
  <c r="AD302" i="7" s="1"/>
  <c r="AJ57" i="7"/>
  <c r="AJ62" i="7" s="1"/>
  <c r="AJ64" i="7" s="1"/>
  <c r="F282" i="7"/>
  <c r="F287" i="7" s="1"/>
  <c r="F289" i="7" s="1"/>
  <c r="F269" i="7"/>
  <c r="F274" i="7" s="1"/>
  <c r="F276" i="7" s="1"/>
  <c r="F308" i="7"/>
  <c r="F313" i="7" s="1"/>
  <c r="F315" i="7" s="1"/>
  <c r="F295" i="7"/>
  <c r="F300" i="7" s="1"/>
  <c r="F302" i="7" s="1"/>
  <c r="L229" i="7"/>
  <c r="L234" i="7" s="1"/>
  <c r="L236" i="7" s="1"/>
  <c r="L216" i="7"/>
  <c r="L221" i="7" s="1"/>
  <c r="L223" i="7" s="1"/>
  <c r="L176" i="7"/>
  <c r="L181" i="7" s="1"/>
  <c r="L183" i="7" s="1"/>
  <c r="L163" i="7"/>
  <c r="L168" i="7" s="1"/>
  <c r="L170" i="7" s="1"/>
  <c r="F229" i="7"/>
  <c r="F234" i="7" s="1"/>
  <c r="F236" i="7" s="1"/>
  <c r="F216" i="7"/>
  <c r="F221" i="7" s="1"/>
  <c r="F223" i="7" s="1"/>
  <c r="F176" i="7"/>
  <c r="F181" i="7" s="1"/>
  <c r="F183" i="7" s="1"/>
  <c r="F163" i="7"/>
  <c r="F168" i="7" s="1"/>
  <c r="F170" i="7" s="1"/>
  <c r="R216" i="7"/>
  <c r="R221" i="7" s="1"/>
  <c r="R223" i="7" s="1"/>
  <c r="L189" i="7"/>
  <c r="L194" i="7" s="1"/>
  <c r="L196" i="7" s="1"/>
  <c r="R176" i="7"/>
  <c r="R181" i="7" s="1"/>
  <c r="R183" i="7" s="1"/>
  <c r="F96" i="7"/>
  <c r="F101" i="7" s="1"/>
  <c r="F103" i="7" s="1"/>
  <c r="L30" i="7"/>
  <c r="L35" i="7" s="1"/>
  <c r="L37" i="7" s="1"/>
  <c r="F149" i="7"/>
  <c r="F154" i="7" s="1"/>
  <c r="F156" i="7" s="1"/>
  <c r="F83" i="7"/>
  <c r="F88" i="7" s="1"/>
  <c r="F90" i="7" s="1"/>
  <c r="F57" i="7"/>
  <c r="F62" i="7" s="1"/>
  <c r="F30" i="7"/>
  <c r="F35" i="7" s="1"/>
  <c r="F37" i="7" s="1"/>
  <c r="L295" i="7"/>
  <c r="L300" i="7" s="1"/>
  <c r="L302" i="7" s="1"/>
  <c r="F110" i="7"/>
  <c r="F115" i="7" s="1"/>
  <c r="F117" i="7" s="1"/>
  <c r="F6" i="7"/>
  <c r="F11" i="7" s="1"/>
  <c r="L282" i="7"/>
  <c r="L287" i="7" s="1"/>
  <c r="L289" i="7" s="1"/>
  <c r="L202" i="7"/>
  <c r="L207" i="7" s="1"/>
  <c r="L209" i="7" s="1"/>
  <c r="L136" i="7"/>
  <c r="L141" i="7" s="1"/>
  <c r="L143" i="7" s="1"/>
  <c r="F70" i="7"/>
  <c r="F75" i="7" s="1"/>
  <c r="F77" i="7" s="1"/>
  <c r="R123" i="7"/>
  <c r="R128" i="7" s="1"/>
  <c r="R130" i="7" s="1"/>
  <c r="F255" i="7"/>
  <c r="F260" i="7" s="1"/>
  <c r="F262" i="7" s="1"/>
  <c r="L308" i="7"/>
  <c r="L313" i="7" s="1"/>
  <c r="L315" i="7" s="1"/>
  <c r="L149" i="7"/>
  <c r="L154" i="7" s="1"/>
  <c r="L156" i="7" s="1"/>
  <c r="R70" i="7"/>
  <c r="R75" i="7" s="1"/>
  <c r="R77" i="7" s="1"/>
  <c r="R57" i="7"/>
  <c r="R62" i="7" s="1"/>
  <c r="R64" i="7" s="1"/>
  <c r="L18" i="7"/>
  <c r="L23" i="7" s="1"/>
  <c r="L25" i="7" s="1"/>
  <c r="F189" i="7"/>
  <c r="F194" i="7" s="1"/>
  <c r="F196" i="7" s="1"/>
  <c r="L242" i="7"/>
  <c r="L247" i="7" s="1"/>
  <c r="L249" i="7" s="1"/>
  <c r="L70" i="7"/>
  <c r="L75" i="7" s="1"/>
  <c r="L77" i="7" s="1"/>
  <c r="R6" i="7"/>
  <c r="R11" i="7" s="1"/>
  <c r="R13" i="7" s="1"/>
  <c r="F202" i="7"/>
  <c r="F207" i="7" s="1"/>
  <c r="F209" i="7" s="1"/>
  <c r="F242" i="7"/>
  <c r="F247" i="7" s="1"/>
  <c r="F249" i="7" s="1"/>
  <c r="F123" i="7"/>
  <c r="F128" i="7" s="1"/>
  <c r="F130" i="7" s="1"/>
  <c r="R282" i="7"/>
  <c r="R287" i="7" s="1"/>
  <c r="R289" i="7" s="1"/>
  <c r="F42" i="7"/>
  <c r="F47" i="7" s="1"/>
  <c r="F49" i="7" s="1"/>
  <c r="R229" i="7"/>
  <c r="R234" i="7" s="1"/>
  <c r="R236" i="7" s="1"/>
  <c r="L96" i="7"/>
  <c r="L101" i="7" s="1"/>
  <c r="L103" i="7" s="1"/>
  <c r="L57" i="7"/>
  <c r="L62" i="7" s="1"/>
  <c r="L64" i="7" s="1"/>
  <c r="L255" i="7"/>
  <c r="L260" i="7" s="1"/>
  <c r="L262" i="7" s="1"/>
  <c r="L123" i="7"/>
  <c r="L128" i="7" s="1"/>
  <c r="L130" i="7" s="1"/>
  <c r="L83" i="7"/>
  <c r="L88" i="7" s="1"/>
  <c r="L90" i="7" s="1"/>
  <c r="L42" i="7"/>
  <c r="L47" i="7" s="1"/>
  <c r="L49" i="7" s="1"/>
  <c r="F136" i="7"/>
  <c r="F141" i="7" s="1"/>
  <c r="F143" i="7" s="1"/>
  <c r="L110" i="7"/>
  <c r="L115" i="7" s="1"/>
  <c r="L117" i="7" s="1"/>
  <c r="L6" i="7"/>
  <c r="L11" i="7" s="1"/>
  <c r="L13" i="7" s="1"/>
  <c r="R110" i="7"/>
  <c r="R115" i="7" s="1"/>
  <c r="R117" i="7" s="1"/>
  <c r="R18" i="7"/>
  <c r="R23" i="7" s="1"/>
  <c r="R25" i="7" s="1"/>
  <c r="R269" i="7"/>
  <c r="R274" i="7" s="1"/>
  <c r="R276" i="7" s="1"/>
  <c r="R163" i="7"/>
  <c r="R168" i="7" s="1"/>
  <c r="R170" i="7" s="1"/>
  <c r="L269" i="7"/>
  <c r="L274" i="7" s="1"/>
  <c r="L276" i="7" s="1"/>
  <c r="F18" i="7"/>
  <c r="F23" i="7" s="1"/>
  <c r="F25" i="7" s="1"/>
  <c r="G321" i="6"/>
  <c r="H321" i="6" s="1"/>
  <c r="G324" i="6"/>
  <c r="H324" i="6" s="1"/>
  <c r="G326" i="6"/>
  <c r="H326" i="6" s="1"/>
  <c r="H103" i="2"/>
  <c r="I103" i="2" s="1"/>
  <c r="F83" i="4"/>
  <c r="F116" i="4"/>
  <c r="G116" i="4" s="1"/>
  <c r="F51" i="4"/>
  <c r="F53" i="4" s="1"/>
  <c r="F23" i="4" l="1"/>
  <c r="F112" i="4"/>
  <c r="G112" i="4" s="1"/>
  <c r="F114" i="4"/>
  <c r="G114" i="4" s="1"/>
  <c r="F12" i="4"/>
  <c r="F117" i="4"/>
  <c r="G117" i="4" s="1"/>
  <c r="F33" i="4"/>
  <c r="F73" i="4"/>
  <c r="F105" i="4"/>
  <c r="Y411" i="7"/>
  <c r="Z411" i="7" s="1"/>
  <c r="Y401" i="7"/>
  <c r="Z401" i="7" s="1"/>
  <c r="Y366" i="7"/>
  <c r="Z366" i="7" s="1"/>
  <c r="X64" i="7"/>
  <c r="Y412" i="7"/>
  <c r="Z412" i="7" s="1"/>
  <c r="Y409" i="7"/>
  <c r="Z409" i="7" s="1"/>
  <c r="Y367" i="7"/>
  <c r="Z367" i="7" s="1"/>
  <c r="Y392" i="7"/>
  <c r="Z392" i="7" s="1"/>
  <c r="Y393" i="7"/>
  <c r="Z393" i="7" s="1"/>
  <c r="Y405" i="7"/>
  <c r="Z405" i="7" s="1"/>
  <c r="Y379" i="7"/>
  <c r="Z379" i="7" s="1"/>
  <c r="Y362" i="7"/>
  <c r="Z362" i="7" s="1"/>
  <c r="Y394" i="7"/>
  <c r="Z394" i="7" s="1"/>
  <c r="Y406" i="7"/>
  <c r="Z406" i="7" s="1"/>
  <c r="Y387" i="7"/>
  <c r="Z387" i="7" s="1"/>
  <c r="Y395" i="7"/>
  <c r="Z395" i="7" s="1"/>
  <c r="Y420" i="7"/>
  <c r="Z420" i="7" s="1"/>
  <c r="Y421" i="7"/>
  <c r="Z421" i="7" s="1"/>
  <c r="Y373" i="7"/>
  <c r="Z373" i="7" s="1"/>
  <c r="Y408" i="7"/>
  <c r="Z408" i="7" s="1"/>
  <c r="Y386" i="7"/>
  <c r="Z386" i="7" s="1"/>
  <c r="Y396" i="7"/>
  <c r="Z396" i="7" s="1"/>
  <c r="Y398" i="7"/>
  <c r="Z398" i="7" s="1"/>
  <c r="G362" i="7"/>
  <c r="H362" i="7" s="1"/>
  <c r="G356" i="7"/>
  <c r="H356" i="7" s="1"/>
  <c r="F64" i="7"/>
  <c r="G366" i="7"/>
  <c r="H366" i="7" s="1"/>
  <c r="G396" i="7"/>
  <c r="H396" i="7" s="1"/>
  <c r="Y413" i="7"/>
  <c r="Z413" i="7" s="1"/>
  <c r="Y384" i="7"/>
  <c r="Z384" i="7" s="1"/>
  <c r="Y371" i="7"/>
  <c r="Z371" i="7" s="1"/>
  <c r="Y427" i="7"/>
  <c r="Z427" i="7" s="1"/>
  <c r="G427" i="7"/>
  <c r="H427" i="7" s="1"/>
  <c r="G425" i="7"/>
  <c r="H425" i="7" s="1"/>
  <c r="G368" i="7"/>
  <c r="H368" i="7" s="1"/>
  <c r="G397" i="7"/>
  <c r="H397" i="7" s="1"/>
  <c r="Y388" i="7"/>
  <c r="Z388" i="7" s="1"/>
  <c r="Y381" i="7"/>
  <c r="Z381" i="7" s="1"/>
  <c r="G357" i="7"/>
  <c r="H357" i="7" s="1"/>
  <c r="G380" i="7"/>
  <c r="H380" i="7" s="1"/>
  <c r="G408" i="7"/>
  <c r="H408" i="7" s="1"/>
  <c r="G382" i="7"/>
  <c r="H382" i="7" s="1"/>
  <c r="G409" i="7"/>
  <c r="H409" i="7" s="1"/>
  <c r="Y410" i="7"/>
  <c r="Z410" i="7" s="1"/>
  <c r="Y358" i="7"/>
  <c r="Z358" i="7" s="1"/>
  <c r="G383" i="7"/>
  <c r="H383" i="7" s="1"/>
  <c r="G407" i="7"/>
  <c r="H407" i="7" s="1"/>
  <c r="G359" i="7"/>
  <c r="H359" i="7" s="1"/>
  <c r="G410" i="7"/>
  <c r="H410" i="7" s="1"/>
  <c r="Y400" i="7"/>
  <c r="Z400" i="7" s="1"/>
  <c r="Y397" i="7"/>
  <c r="Z397" i="7" s="1"/>
  <c r="Y425" i="7"/>
  <c r="Z425" i="7" s="1"/>
  <c r="Y368" i="7"/>
  <c r="Z368" i="7" s="1"/>
  <c r="G381" i="7"/>
  <c r="H381" i="7" s="1"/>
  <c r="G395" i="7"/>
  <c r="H395" i="7" s="1"/>
  <c r="G367" i="7"/>
  <c r="H367" i="7" s="1"/>
  <c r="G369" i="7"/>
  <c r="H369" i="7" s="1"/>
  <c r="G420" i="7"/>
  <c r="H420" i="7" s="1"/>
  <c r="Y418" i="7"/>
  <c r="Z418" i="7" s="1"/>
  <c r="Y423" i="7"/>
  <c r="Z423" i="7" s="1"/>
  <c r="Y353" i="7"/>
  <c r="Z353" i="7" s="1"/>
  <c r="X13" i="7"/>
  <c r="Y382" i="7"/>
  <c r="Z382" i="7" s="1"/>
  <c r="G360" i="7"/>
  <c r="H360" i="7" s="1"/>
  <c r="G361" i="7"/>
  <c r="H361" i="7" s="1"/>
  <c r="G385" i="7"/>
  <c r="H385" i="7" s="1"/>
  <c r="G388" i="7"/>
  <c r="H388" i="7" s="1"/>
  <c r="G401" i="7"/>
  <c r="H401" i="7" s="1"/>
  <c r="G421" i="7"/>
  <c r="H421" i="7" s="1"/>
  <c r="Y422" i="7"/>
  <c r="Z422" i="7" s="1"/>
  <c r="G372" i="7"/>
  <c r="H372" i="7" s="1"/>
  <c r="G371" i="7"/>
  <c r="H371" i="7" s="1"/>
  <c r="G386" i="7"/>
  <c r="H386" i="7" s="1"/>
  <c r="G399" i="7"/>
  <c r="H399" i="7" s="1"/>
  <c r="G398" i="7"/>
  <c r="H398" i="7" s="1"/>
  <c r="G418" i="7"/>
  <c r="H418" i="7" s="1"/>
  <c r="Y360" i="7"/>
  <c r="Z360" i="7" s="1"/>
  <c r="Y354" i="7"/>
  <c r="Z354" i="7" s="1"/>
  <c r="G384" i="7"/>
  <c r="H384" i="7" s="1"/>
  <c r="G411" i="7"/>
  <c r="H411" i="7" s="1"/>
  <c r="G423" i="7"/>
  <c r="H423" i="7" s="1"/>
  <c r="G413" i="7"/>
  <c r="H413" i="7" s="1"/>
  <c r="G419" i="7"/>
  <c r="H419" i="7" s="1"/>
  <c r="Y355" i="7"/>
  <c r="Z355" i="7" s="1"/>
  <c r="Y375" i="7"/>
  <c r="Z375" i="7" s="1"/>
  <c r="Y426" i="7"/>
  <c r="Z426" i="7" s="1"/>
  <c r="Y407" i="7"/>
  <c r="Z407" i="7" s="1"/>
  <c r="G354" i="7"/>
  <c r="H354" i="7" s="1"/>
  <c r="G412" i="7"/>
  <c r="H412" i="7" s="1"/>
  <c r="G394" i="7"/>
  <c r="H394" i="7" s="1"/>
  <c r="F13" i="7"/>
  <c r="G353" i="7"/>
  <c r="H353" i="7" s="1"/>
  <c r="G392" i="7"/>
  <c r="H392" i="7" s="1"/>
  <c r="Y374" i="7"/>
  <c r="Z374" i="7" s="1"/>
  <c r="Y419" i="7"/>
  <c r="Z419" i="7" s="1"/>
  <c r="Y357" i="7"/>
  <c r="Z357" i="7" s="1"/>
  <c r="G422" i="7"/>
  <c r="H422" i="7" s="1"/>
  <c r="G370" i="7"/>
  <c r="H370" i="7" s="1"/>
  <c r="G358" i="7"/>
  <c r="H358" i="7" s="1"/>
  <c r="G379" i="7"/>
  <c r="H379" i="7" s="1"/>
  <c r="G393" i="7"/>
  <c r="H393" i="7" s="1"/>
  <c r="Y424" i="7"/>
  <c r="Z424" i="7" s="1"/>
  <c r="Y369" i="7"/>
  <c r="Z369" i="7" s="1"/>
  <c r="Y372" i="7"/>
  <c r="Z372" i="7" s="1"/>
  <c r="Y385" i="7"/>
  <c r="Z385" i="7" s="1"/>
  <c r="G400" i="7"/>
  <c r="H400" i="7" s="1"/>
  <c r="G387" i="7"/>
  <c r="H387" i="7" s="1"/>
  <c r="G373" i="7"/>
  <c r="H373" i="7" s="1"/>
  <c r="G374" i="7"/>
  <c r="H374" i="7" s="1"/>
  <c r="G424" i="7"/>
  <c r="H424" i="7" s="1"/>
  <c r="G405" i="7"/>
  <c r="H405" i="7" s="1"/>
  <c r="Y356" i="7"/>
  <c r="Z356" i="7" s="1"/>
  <c r="Y383" i="7"/>
  <c r="Z383" i="7" s="1"/>
  <c r="Y370" i="7"/>
  <c r="Z370" i="7" s="1"/>
  <c r="G426" i="7"/>
  <c r="H426" i="7" s="1"/>
  <c r="G414" i="7"/>
  <c r="H414" i="7" s="1"/>
  <c r="G375" i="7"/>
  <c r="H375" i="7" s="1"/>
  <c r="G355" i="7"/>
  <c r="H355" i="7" s="1"/>
  <c r="G406" i="7"/>
  <c r="H406" i="7" s="1"/>
  <c r="Y359" i="7"/>
  <c r="Z359" i="7" s="1"/>
  <c r="Y380" i="7"/>
  <c r="Z380" i="7" s="1"/>
  <c r="Y361" i="7"/>
  <c r="Z361" i="7" s="1"/>
  <c r="Y414" i="7"/>
  <c r="Z414" i="7" s="1"/>
  <c r="Y399" i="7"/>
  <c r="Z399" i="7" s="1"/>
  <c r="F113" i="4"/>
  <c r="G113" i="4" s="1"/>
  <c r="G128" i="4"/>
  <c r="F128" i="4"/>
  <c r="L68" i="4"/>
  <c r="L71" i="4"/>
  <c r="L73" i="4"/>
  <c r="L23" i="4"/>
  <c r="G125" i="4"/>
  <c r="F125" i="4"/>
  <c r="L63" i="4"/>
  <c r="G129" i="4"/>
  <c r="F129" i="4"/>
  <c r="L58" i="4"/>
  <c r="L61" i="4"/>
  <c r="F127" i="4"/>
  <c r="G127" i="4"/>
  <c r="L78" i="4"/>
  <c r="L81" i="4"/>
  <c r="L83" i="4"/>
  <c r="G126" i="4"/>
  <c r="F126" i="4"/>
  <c r="L33" i="4"/>
  <c r="L12" i="4"/>
  <c r="L41" i="4"/>
  <c r="L43" i="4"/>
  <c r="L7" i="4"/>
  <c r="L10" i="4"/>
  <c r="F122" i="4"/>
  <c r="G122" i="4"/>
  <c r="L48" i="4"/>
  <c r="L51" i="4"/>
  <c r="L53" i="4"/>
  <c r="L18" i="4"/>
  <c r="L21" i="4"/>
  <c r="F123" i="4"/>
  <c r="G123" i="4"/>
  <c r="L38" i="4"/>
  <c r="L28" i="4"/>
  <c r="L31" i="4"/>
  <c r="F124" i="4"/>
  <c r="G124" i="4"/>
</calcChain>
</file>

<file path=xl/sharedStrings.xml><?xml version="1.0" encoding="utf-8"?>
<sst xmlns="http://schemas.openxmlformats.org/spreadsheetml/2006/main" count="7856" uniqueCount="369">
  <si>
    <t>No</t>
  </si>
  <si>
    <t>Nama bahan</t>
  </si>
  <si>
    <t>qty</t>
  </si>
  <si>
    <t>satuan</t>
  </si>
  <si>
    <t xml:space="preserve">Jumlah </t>
  </si>
  <si>
    <t>Harga/gr</t>
  </si>
  <si>
    <t>Potong</t>
  </si>
  <si>
    <t>Tepung Krispy</t>
  </si>
  <si>
    <t>gr</t>
  </si>
  <si>
    <t>Minyak Goreng</t>
  </si>
  <si>
    <t>ml</t>
  </si>
  <si>
    <t>Gas 3kg untuk 200 potong ayam</t>
  </si>
  <si>
    <t xml:space="preserve">potong </t>
  </si>
  <si>
    <t>Gula Pasir</t>
  </si>
  <si>
    <t>Nasi (beras 1L=10 porsi)</t>
  </si>
  <si>
    <t>porsi</t>
  </si>
  <si>
    <t>Air Galon Isi Ulang</t>
  </si>
  <si>
    <t>Saus Keju</t>
  </si>
  <si>
    <t>Saus Barbeque Spicy</t>
  </si>
  <si>
    <t>Saus Lada Hitam</t>
  </si>
  <si>
    <t>Saus Sadis</t>
  </si>
  <si>
    <t>Saus Teriyaki</t>
  </si>
  <si>
    <t>Saus sachet  8 gr Cabai / tomat</t>
  </si>
  <si>
    <t>pcs</t>
  </si>
  <si>
    <t>Keju Mozzarella</t>
  </si>
  <si>
    <t>Saus Mentai</t>
  </si>
  <si>
    <t>Saus Garlic</t>
  </si>
  <si>
    <t>Packaging Box Besar</t>
  </si>
  <si>
    <t>lembar</t>
  </si>
  <si>
    <t>Packaging Retail</t>
  </si>
  <si>
    <t>Packaging Box Kecil</t>
  </si>
  <si>
    <t>Kertas Nasi</t>
  </si>
  <si>
    <t xml:space="preserve">3. HPP 1 Potong Ayam Krispy Matang </t>
  </si>
  <si>
    <t>Nama Bahan</t>
  </si>
  <si>
    <t>Qty</t>
  </si>
  <si>
    <t xml:space="preserve">Satuan </t>
  </si>
  <si>
    <t>Jumlah</t>
  </si>
  <si>
    <t xml:space="preserve">Air </t>
  </si>
  <si>
    <t>1 Resep Celupan bisa Untuk 50 ptg ayam</t>
  </si>
  <si>
    <t xml:space="preserve">Total </t>
  </si>
  <si>
    <t>Pencelup</t>
  </si>
  <si>
    <t>Dibagi / Potong Ayam</t>
  </si>
  <si>
    <t>Tepung Premix Crispy</t>
  </si>
  <si>
    <t>Hpp / Potong</t>
  </si>
  <si>
    <t xml:space="preserve">Gas </t>
  </si>
  <si>
    <t>Pemakaian</t>
  </si>
  <si>
    <t>Minyak</t>
  </si>
  <si>
    <t>1 kg Tepung Bisa Untuk 20 potong ayam</t>
  </si>
  <si>
    <t>3 ) HPP Saus Teriyaki</t>
  </si>
  <si>
    <t>Item</t>
  </si>
  <si>
    <t>Satuan</t>
  </si>
  <si>
    <t xml:space="preserve">Air Panas </t>
  </si>
  <si>
    <t>Air</t>
  </si>
  <si>
    <t>Total</t>
  </si>
  <si>
    <t>Berat Matang</t>
  </si>
  <si>
    <t xml:space="preserve">Hpp </t>
  </si>
  <si>
    <t>4 ) HPP Saus Lada Hitam</t>
  </si>
  <si>
    <t>Saus BBQ spicy</t>
  </si>
  <si>
    <t>5 ) HPP Saus Keju</t>
  </si>
  <si>
    <t>HPP AYAM CRISPY POTONGAN</t>
  </si>
  <si>
    <t>HPP AYAM CRISPY 1 EKOR</t>
  </si>
  <si>
    <t>Ekor</t>
  </si>
  <si>
    <t>1 kg Tepung Bisa Untuk 3 Ekor ayam</t>
  </si>
  <si>
    <t>Ayam Marinasi Utuh</t>
  </si>
  <si>
    <t>Kentang kuning dieng</t>
  </si>
  <si>
    <t>Packaging Alumunium Foil</t>
  </si>
  <si>
    <t xml:space="preserve">Cabe Rawit Merah </t>
  </si>
  <si>
    <t>Cabe Kriting Merah</t>
  </si>
  <si>
    <t>Bumbu 1 (2 sdm)</t>
  </si>
  <si>
    <t>Gula Pasir (2 sdm)</t>
  </si>
  <si>
    <t>1. ) HPP Kentang Kriwil</t>
  </si>
  <si>
    <t xml:space="preserve">3. ) HPP Kentang Kriwil Porsi Reguler 100gr </t>
  </si>
  <si>
    <t xml:space="preserve">Tanpa Packaging &amp; Saos </t>
  </si>
  <si>
    <t>Kentang</t>
  </si>
  <si>
    <t>Tepung Crispy</t>
  </si>
  <si>
    <t>Kentang Kriwil</t>
  </si>
  <si>
    <t>Air celupan</t>
  </si>
  <si>
    <t>Gas</t>
  </si>
  <si>
    <t>Berat Matang / gr</t>
  </si>
  <si>
    <t>total hpp / gr</t>
  </si>
  <si>
    <t xml:space="preserve">3. ) HPP Kentang Kriwil Porsi Reguler 200gr </t>
  </si>
  <si>
    <t>2. ) HPP Air Celupan</t>
  </si>
  <si>
    <t>Untuk Kentang Kriwil</t>
  </si>
  <si>
    <t>Hpp celupan / Porsi</t>
  </si>
  <si>
    <t>HPP KENTANG KRIWIL</t>
  </si>
  <si>
    <t>Note</t>
  </si>
  <si>
    <t>HPP Ayam Crispy Potong</t>
  </si>
  <si>
    <t>HPP Ayam Crispy 1 Ekor</t>
  </si>
  <si>
    <t>HPP Kentang Kriwil</t>
  </si>
  <si>
    <t xml:space="preserve">Minyak </t>
  </si>
  <si>
    <t>1 Resep Sambal Master bisa jadi 13 porsi</t>
  </si>
  <si>
    <t>penggunaan sebanyak 60 gr</t>
  </si>
  <si>
    <t xml:space="preserve">Dibagi </t>
  </si>
  <si>
    <t xml:space="preserve">Hpp Sambal Geprek </t>
  </si>
  <si>
    <t xml:space="preserve">6 ) HPP Sambal Master  </t>
  </si>
  <si>
    <t>HPP D'CELUP CHICKEN CRISPY EXTRA</t>
  </si>
  <si>
    <t>HPP D'CELUP  CHICKEN CRISPY EXTRA</t>
  </si>
  <si>
    <t>HPP SAUS TOPPING D'CELUP CHICKEN CRISPY EXTRA TRAY</t>
  </si>
  <si>
    <t>HPP SAUS &amp; SAMBAL D'CELUP CHICKEN CRISPY EXTRA</t>
  </si>
  <si>
    <t>1 ) HPP Saus Sadis</t>
  </si>
  <si>
    <t>2 ) HPP Saus Barbeque Spicy</t>
  </si>
  <si>
    <t>1 ) HPP Saus Carbonara</t>
  </si>
  <si>
    <t>2 ) HPP Saus Keju Bubuk</t>
  </si>
  <si>
    <t>3 ) HPP Saus Garlic</t>
  </si>
  <si>
    <t>4 ) HPP Saus Mayo Spicy</t>
  </si>
  <si>
    <t>Saus Carbonara</t>
  </si>
  <si>
    <t xml:space="preserve">Saus Keju Bubuk </t>
  </si>
  <si>
    <t>Saus Mayo Spicy</t>
  </si>
  <si>
    <t>Saus Keju Bubuk</t>
  </si>
  <si>
    <t>HPP Saus Topping DCC Extra</t>
  </si>
  <si>
    <t>HPP Saus DCC Extra</t>
  </si>
  <si>
    <t>1 .Ayam Krispy Original</t>
  </si>
  <si>
    <t>Ayam Crispy</t>
  </si>
  <si>
    <t>potong</t>
  </si>
  <si>
    <t>Saus sachet</t>
  </si>
  <si>
    <t>Lembar</t>
  </si>
  <si>
    <t xml:space="preserve">Harga Jual </t>
  </si>
  <si>
    <t>Nasi</t>
  </si>
  <si>
    <t>Porsi</t>
  </si>
  <si>
    <t>Margine</t>
  </si>
  <si>
    <t>Ket : Ayam Crispy + Saus BBQ Spicy + Packaging Box Kecil</t>
  </si>
  <si>
    <t>Saus BBQ Spicy</t>
  </si>
  <si>
    <t>Ket : Ayam Crispy + Saus Mentai + Packaging Box Kecil</t>
  </si>
  <si>
    <t>HPP &amp; HARGA JUAL D'CELUP CHICKEN CRISPY SAUS CELUP ALL VARIAN</t>
  </si>
  <si>
    <t>1. Rincian Daftar Harga PerPorsi Tanpa Nasi</t>
  </si>
  <si>
    <t>Menu</t>
  </si>
  <si>
    <t>Hpp</t>
  </si>
  <si>
    <t>Harga Jual</t>
  </si>
  <si>
    <t>Ayam Crispy Original</t>
  </si>
  <si>
    <t>Ayam Crispy Celup Keju</t>
  </si>
  <si>
    <t>Ayam Crispy Celup Lada Hitam</t>
  </si>
  <si>
    <t>Ayam Crispy Celup Teriyaki</t>
  </si>
  <si>
    <t xml:space="preserve">Ayam Crispy Celup Sadis </t>
  </si>
  <si>
    <t>Ayam Crispy Celup BBQ Spicy</t>
  </si>
  <si>
    <t>Ayam Crispy Saus Mentai</t>
  </si>
  <si>
    <t>2. Rincian Daftar Harga PerPorsi Pakai Nasi</t>
  </si>
  <si>
    <t>Ayam Crispy Original + Nasi</t>
  </si>
  <si>
    <t>Ayam Crispy Celup Keju + Nasi</t>
  </si>
  <si>
    <t>Ayam Crispy Celup Lada Hitam + Nasi</t>
  </si>
  <si>
    <t>Ayam Crispy Celup Teriyaki + Nasi</t>
  </si>
  <si>
    <t>Ayam Crispy Celup Sadis + Nasi</t>
  </si>
  <si>
    <t>Ayam Crispy Celup BBQ Spicy + Nasi</t>
  </si>
  <si>
    <t>3. Rincian Daftar Harga Extra Saos uk Cup 35 ml</t>
  </si>
  <si>
    <t xml:space="preserve">Saus Carbonara </t>
  </si>
  <si>
    <t>HPP &amp; HARGA JUAL D'CELUP CHICKEN CRISPY EXTRA</t>
  </si>
  <si>
    <t>Ket : Ayam Crispy + Sambal Geprek + Packaging box kecil</t>
  </si>
  <si>
    <t>Sambal Geprek</t>
  </si>
  <si>
    <t>Ayam Crispy Celup Sambal Geprek</t>
  </si>
  <si>
    <t>Ket : Ayam Crispy + Saus Keju + Packaging Box Kecil</t>
  </si>
  <si>
    <t>Ket : Ayam Crispy + Saus Sachet + Packaging Retail</t>
  </si>
  <si>
    <t>Ket : Ayam Crispy + Saus Sadis + Packaging Box Kecil</t>
  </si>
  <si>
    <t>Ket : Ayam Crispy + Saus Teriyaki + Packaging Box Kecil</t>
  </si>
  <si>
    <t>Ket : Ayam Crispy + Saus Lada Hitam + Packaging Box Kecil</t>
  </si>
  <si>
    <t>2 .Varian Saus Keju</t>
  </si>
  <si>
    <t>3 .Varian Saus Lada Hitam</t>
  </si>
  <si>
    <t>4 .Varian Saus Teriyaki</t>
  </si>
  <si>
    <t>5 .Varian Saus Sadis</t>
  </si>
  <si>
    <t>6 .Varian Saus BBQ Spicy</t>
  </si>
  <si>
    <t>7. Varian Saus Mentai</t>
  </si>
  <si>
    <t>8. Ayam Krispy Sambal Geprek</t>
  </si>
  <si>
    <t>1. Ayam Krispy Original</t>
  </si>
  <si>
    <t>3. Varian Saus Lada Hitam</t>
  </si>
  <si>
    <t>4. Varian Saus Teriyaki</t>
  </si>
  <si>
    <t>5. Varian Saus Sadis</t>
  </si>
  <si>
    <t>6. Varian Saus BBQ Spicy</t>
  </si>
  <si>
    <t>2. Varian Saus Keju</t>
  </si>
  <si>
    <t>HPP &amp; HARGA JUAL D'CELUP CHICKEN CRISPY 1 EKOR (TANPA DI CELUP)</t>
  </si>
  <si>
    <t>1. Ayam 1 Ekor Original</t>
  </si>
  <si>
    <t xml:space="preserve">Ket : Ayam 1 Ekor +Tabur Cabai + Saus Sachet + Packaging  </t>
  </si>
  <si>
    <t>Ayam 1 Ekor</t>
  </si>
  <si>
    <t>Saus Sachet Cabe/Tomat</t>
  </si>
  <si>
    <t>Packaging Ayam</t>
  </si>
  <si>
    <t>Margin</t>
  </si>
  <si>
    <t>HPP &amp; HARGA JUAL D'CELUP CHICKEN CRISPY 1 EKOR + SAUS CELUP ALL VARIAN</t>
  </si>
  <si>
    <t>1. Varian Celup Saus Barbeque Spicy</t>
  </si>
  <si>
    <t>Ket : Ayam 1 Ekor + Saus Barbeque Spicy + Packaging</t>
  </si>
  <si>
    <t>Packaging</t>
  </si>
  <si>
    <t>Packaging Ayam 1 Ekor</t>
  </si>
  <si>
    <t>1. Rincian Daftar Harga Ayam Crispy 1 Ekor</t>
  </si>
  <si>
    <t>Ayam Crispy 1 ekor Original</t>
  </si>
  <si>
    <t>2. Rincian Daftar Harga Ayam Crispy 1 Ekor</t>
  </si>
  <si>
    <t>Ayam Crispy Celup 1 ekor BBQ Spicy</t>
  </si>
  <si>
    <t>3. Rincian Daftar Harga Extra Saos</t>
  </si>
  <si>
    <t>HPP DAN HARGA JUAL KENTANG KRIWIL</t>
  </si>
  <si>
    <t>PORSI REGULER</t>
  </si>
  <si>
    <t>PORSI LARGE</t>
  </si>
  <si>
    <t>1. Kentang Kriwil Original Saus Sachet</t>
  </si>
  <si>
    <t>Ket : Kentang Kriwil + Saus Sadis + Packaging Box Kecil</t>
  </si>
  <si>
    <t>2. Kentang Kriwil Saus Sadis</t>
  </si>
  <si>
    <t>3. Kentang Kriwil Saus Barbeque Spicy</t>
  </si>
  <si>
    <t>Ket : Kentang Kriwil + Saus Barbeque Spicy + Packaging Box Kecil</t>
  </si>
  <si>
    <t>4. Kentang Kriwil Saus Teriyaki</t>
  </si>
  <si>
    <t>5. Kentang Kriwil Saus Lada Hitam</t>
  </si>
  <si>
    <t>Ket : Kentang Kriwil + Saus Lada Hitam + Packaging Box Kecil</t>
  </si>
  <si>
    <t>6. Kentang Kriwil Saus Keju</t>
  </si>
  <si>
    <t>7. Kentang Kriwil Saus Mentai</t>
  </si>
  <si>
    <t>8. Kentang Kriwil Sambal Master</t>
  </si>
  <si>
    <t>Sambal Master</t>
  </si>
  <si>
    <t>9. Kentang Kriwil Smocky Mentai</t>
  </si>
  <si>
    <t>Ket : Kentang Kriwil + Saus BBQ Spicy + Saus Mentai + Packaging Alumunium</t>
  </si>
  <si>
    <t>10. Kentang Kriwil Smocky Keju Mozzarella</t>
  </si>
  <si>
    <t>Ket : Kentang Kriwil + Saus BBQ Spicy + Keju Mozzarella + Packaging Alumunium</t>
  </si>
  <si>
    <t>1. Rincian Daftar Harga Jual Kentang Kriwil Porsi Reguler</t>
  </si>
  <si>
    <t>Kentang Kriwil Original Saus Sachet</t>
  </si>
  <si>
    <t>Kentang Kriwil Saus Sadis</t>
  </si>
  <si>
    <t>Kentang Kriwil Saus Barbeque Spicy</t>
  </si>
  <si>
    <t>Kentang Kriwil Saus Teriyaki</t>
  </si>
  <si>
    <t>Kentang Kriwil Saus Lada Hitam</t>
  </si>
  <si>
    <t>Kentang Kriwil Saus Keju</t>
  </si>
  <si>
    <t>Kentang Kriwil Saus Mentai</t>
  </si>
  <si>
    <t>Kentang Kriwil Sambal Master</t>
  </si>
  <si>
    <t>Kentang Kriwil Smocky Saus Mentai</t>
  </si>
  <si>
    <t>Kentang Kriwil Smocky Keju Mozzarella</t>
  </si>
  <si>
    <t>2. Rincian Daftar Harga Jual Kentang Kriwil Porsi Large</t>
  </si>
  <si>
    <t>HPP MINUMAN D'CELUP CHICKEN CRISPY EXTRA</t>
  </si>
  <si>
    <t>Bubuk Matcha</t>
  </si>
  <si>
    <t>Susu Full Cream</t>
  </si>
  <si>
    <t>Bubuk Taro</t>
  </si>
  <si>
    <t>Sticky Milky Coklat</t>
  </si>
  <si>
    <t>T.e.h solo</t>
  </si>
  <si>
    <t>Es Batu</t>
  </si>
  <si>
    <t>cup</t>
  </si>
  <si>
    <t>Cup 14 oz</t>
  </si>
  <si>
    <t>Tutup Cup</t>
  </si>
  <si>
    <t xml:space="preserve">Sedotan </t>
  </si>
  <si>
    <t>1. HPP Gula Cair</t>
  </si>
  <si>
    <t>2. ) HPP Basic t.e.h</t>
  </si>
  <si>
    <t>T.e.h (16 sendok takar)</t>
  </si>
  <si>
    <t>Air Panas</t>
  </si>
  <si>
    <t>1 Resep Gula Cair bisa dipakai 44 porsi</t>
  </si>
  <si>
    <t>Berat Jadi</t>
  </si>
  <si>
    <t>T.e.h Matang / ml</t>
  </si>
  <si>
    <t>Hpp /ml</t>
  </si>
  <si>
    <t xml:space="preserve"> hpp T.e.h / ml</t>
  </si>
  <si>
    <t>HPP DAN HARGA JUAL MINUMAN D'CELUP CHICKEN CRISPY EXTRA</t>
  </si>
  <si>
    <t>1. Minuman Matcha Latte</t>
  </si>
  <si>
    <t>3. Minuman Matcha Coklat</t>
  </si>
  <si>
    <t>Air Panas untuk larutan Matcha</t>
  </si>
  <si>
    <t>Gula Cair</t>
  </si>
  <si>
    <t xml:space="preserve">Sticky Milky </t>
  </si>
  <si>
    <t>Air Panas u/ larut bubuk coklat</t>
  </si>
  <si>
    <t>Total HPP</t>
  </si>
  <si>
    <t>2. Minuman Matcha Taro</t>
  </si>
  <si>
    <t xml:space="preserve">4. Minuman Es Teh </t>
  </si>
  <si>
    <t>Air T.e.h</t>
  </si>
  <si>
    <t>Air Panas u/ larut bubuk taro</t>
  </si>
  <si>
    <t>1. Rincian Daftar Harga HPP dan Harga Jual Minuman D'Celup Chicken Crispy Extra</t>
  </si>
  <si>
    <t>Minuman Matcha Latte</t>
  </si>
  <si>
    <t>Minuman Matcha Taro</t>
  </si>
  <si>
    <t>Minuman Matcha Coklat</t>
  </si>
  <si>
    <t>Minuman Es Teh</t>
  </si>
  <si>
    <t>Packaging Tray</t>
  </si>
  <si>
    <t>Kentang French Fries</t>
  </si>
  <si>
    <t>1. DCC CUT TRAY SAUS KEJU + SAUS MENTAI</t>
  </si>
  <si>
    <t>Kentang French Fries (100 gr)</t>
  </si>
  <si>
    <t>HPP Kentang French Fries</t>
  </si>
  <si>
    <t>2. DCC CUT TRAY SAUS KEJU + SAUS CARBONARA</t>
  </si>
  <si>
    <t>3. DCC CUT TRAY SAUS KEJU + SAUS MAYO SPICY</t>
  </si>
  <si>
    <t>4. DCC CUT TRAY SAUS KEJU + SAUS GARLIC</t>
  </si>
  <si>
    <t>5. DCC CUT TRAY MENTAI + SAUS CARBONARA</t>
  </si>
  <si>
    <t>6. DCC CUT TRAY SAUS MENTAI + SAUS MAYO SPICY</t>
  </si>
  <si>
    <t>7. DCC CUT TRAY SAUS MENTAI + SAUS GARLIC</t>
  </si>
  <si>
    <t>8. DCC CUT TRAY SAUS MAYO SPICY + SAUS CARBONARA</t>
  </si>
  <si>
    <t>9. DCC CUT TRAY SAUS MAYO SPICY + SAUS GARLIC</t>
  </si>
  <si>
    <t xml:space="preserve">1. ) HPP Kentang French Fries Matang </t>
  </si>
  <si>
    <t>HPP KENTANG FRENCH FRIES</t>
  </si>
  <si>
    <t xml:space="preserve">2. ) HPP Kentang French Fries Standar 100 gr </t>
  </si>
  <si>
    <t xml:space="preserve">3. ) HPP Kentang French Fries Double 150 gr </t>
  </si>
  <si>
    <t xml:space="preserve">4. ) HPP Kentang French Fries Double 200 gr </t>
  </si>
  <si>
    <t>Kentang French Fries (150 gr)</t>
  </si>
  <si>
    <t>Bubuk Cabai Kasar</t>
  </si>
  <si>
    <t xml:space="preserve">Nasi </t>
  </si>
  <si>
    <t>HPP DAN HARGA JUAL DCC CUT TRAY (KENTANG FRENCH FRIES)</t>
  </si>
  <si>
    <t>Kentang French Fries (200 gr)</t>
  </si>
  <si>
    <t>Nori Tabur Gim Jaban</t>
  </si>
  <si>
    <t>Bubuk Nori</t>
  </si>
  <si>
    <t>DCC Cut Tray Saus Keju + Saus Mentai</t>
  </si>
  <si>
    <t>DCC Cut Tray Saus Keju + Saus Carbonara</t>
  </si>
  <si>
    <t>DCC Cut Tray Saus Keju + Saus Mayo Spicy</t>
  </si>
  <si>
    <t>DCC Cut Tray Saus Keju + Saus Garlic</t>
  </si>
  <si>
    <t>DCC Cut Tray Saus Mentai + Saus Carbonara</t>
  </si>
  <si>
    <t>DCC Cut Tray Saus Mentai + Saus Mayo Spicy</t>
  </si>
  <si>
    <t>DCC Cut Tray Saus Mentai + Saus Garlic</t>
  </si>
  <si>
    <t>DCC Cut Tray Saus Mayo Spicy + Saus Carbonara</t>
  </si>
  <si>
    <t>DCC Cut Tray Saus Mayo Spicy + Saus Garlic</t>
  </si>
  <si>
    <t>Extra Sambal Geprek</t>
  </si>
  <si>
    <t>Sambal Geprek Celup</t>
  </si>
  <si>
    <t>Ket : Ayam Crispy + Sambal Geprek + Extra Sambal Geprek + Keju Mozzarella + Packaging box kecil</t>
  </si>
  <si>
    <t>9. Ayam Krispy Sambal Geprek Extra Sambal + Keju Mozzarella</t>
  </si>
  <si>
    <t>10. Ayam Krispy Sambal Geprek Extra Sambal + Saus Mentai</t>
  </si>
  <si>
    <t>Ket : Ayam Crispy + Sambal Geprek + Extra Sambal Geprek + Saus Mentai + Packaging box kecil</t>
  </si>
  <si>
    <t>Ket : Ayam Crispy + Saus Sachet + Nasi + Packaging Besar</t>
  </si>
  <si>
    <t>Ket : Ayam Crispy + Saus Keju + Nasi + Packaging Box Besar</t>
  </si>
  <si>
    <t>Ket : Ayam Crispy + Saus Lada Hitam + Nasi + Packaging Box Besar</t>
  </si>
  <si>
    <t>Ket : Ayam Crispy + Saus Teriyaki + Nasi + Packaging Box Besar</t>
  </si>
  <si>
    <t>Ket : Ayam Crispy + Saus BBQ Spicy + Nasi + Packaging Box Besar</t>
  </si>
  <si>
    <t>Ket : Ayam Crispy + Saus Mentai + Nasi + Packaging Box Besar</t>
  </si>
  <si>
    <t>Ket : Ayam Crispy + Sambal Geprek + Nasi + Packaging box Besar</t>
  </si>
  <si>
    <r>
      <t>Ket : Ayam Crispy + Saus Sadis + Nasi</t>
    </r>
    <r>
      <rPr>
        <b/>
        <sz val="11"/>
        <color theme="1"/>
        <rFont val="Times New Roman"/>
        <family val="1"/>
      </rPr>
      <t xml:space="preserve"> + </t>
    </r>
    <r>
      <rPr>
        <sz val="11"/>
        <color theme="1"/>
        <rFont val="Times New Roman"/>
        <family val="1"/>
      </rPr>
      <t>Packaging Box Besar</t>
    </r>
  </si>
  <si>
    <t>Ket : Ayam Crispy + Sambal Geprek + Extra Sambal Geprek + Keju Mozzarella + Nasi + Packaging box Besar</t>
  </si>
  <si>
    <t>Ket : Ayam Crispy + Sambal Geprek + Extra Sambal Geprek + Saus Mentai + Nasi + Packaging box Besar</t>
  </si>
  <si>
    <t xml:space="preserve"> </t>
  </si>
  <si>
    <t>Ayam Crispy Celup Sambal Geprek Extra Sambal + Keju Mozzarella</t>
  </si>
  <si>
    <t>Ayam Crispy Celup Sambal Geprek Extra Sambal + Saus Mentai</t>
  </si>
  <si>
    <t>HPP DAN HARGA JUAL DCC CUT TRAY (AYAM CRISPY ORIGINAL + KENTANG FRENCH FRIES) STANDAR</t>
  </si>
  <si>
    <t>HPP DAN HARGA JUAL DCC CUT TRAY (AYAM CRISPY ORIGINAL + KENTANG FRENCH FRIES) DOUBLE</t>
  </si>
  <si>
    <t>HPP DAN HARGA JUAL DCC CUT TRAY (AYAM CRISPY SAUS SADIS + KENTANG FRENCH FRIES) STANDAR</t>
  </si>
  <si>
    <t>10. DCC CUT TRAY SAUS CARBONARA + SAUS GARLIC</t>
  </si>
  <si>
    <t>HPP DAN HARGA JUAL DCC CUT TRAY (AYAM CRISPY SAUS SADIS + KENTANG FRENCH FRIES) DOUBLE</t>
  </si>
  <si>
    <t>HPP DAN HARGA JUAL DCC CUT TRAY (AYAM CRISPY SAUS BARBEQUE SPICY + KENTANG FRENCH FRIES) STANDAR</t>
  </si>
  <si>
    <t>HPP DAN HARGA JUAL DCC CUT TRAY (AYAM CRISPY SAUS BARBEQUE SPICY + KENTANG FRENCH FRIES) DOUBLE</t>
  </si>
  <si>
    <t>HPP DAN HARGA JUAL DCC CUT TRAY (AYAM CRISPY SAUS TERIYAKI + KENTANG FRENCH FRIES) STANDAR</t>
  </si>
  <si>
    <t>HPP DAN HARGA JUAL DCC CUT TRAY (AYAM CRISPY SAUS TERIYAKI + KENTANG FRENCH FRIES) DOUBLE</t>
  </si>
  <si>
    <t>HPP DAN HARGA JUAL DCC CUT TRAY (AYAM CRISPY SAUS LADA HITAM + KENTANG FRENCH FRIES) STANDAR</t>
  </si>
  <si>
    <t>HPP DAN HARGA JUAL DCC CUT TRAY (AYAM CRISPY SAUS LADA HITAM + KENTANG FRENCH FRIES) DOUBLE</t>
  </si>
  <si>
    <t>HPP DAN HARGA JUAL DCC CUT TRAY (AYAM CRISPY SAUS KEJU + KENTANG FRENCH FRIES) STANDAR</t>
  </si>
  <si>
    <t>HPP DAN HARGA JUAL DCC CUT TRAY (AYAM CRISPY SAUS KEJU + KENTANG FRENCH FRIES) DOUBLE</t>
  </si>
  <si>
    <t>DCC Cut Tray Saus Carbonara + Saus Garlic</t>
  </si>
  <si>
    <t>1. Rincian Daftar Harga Jual DCC Cut Tray (Ayam Crispy Original + Kentang French Fries) Standar</t>
  </si>
  <si>
    <t>2. Rincian Daftar Harga Jual DCC Cut Tray (Ayam Crispy Saus Sadis + Kentang French Fries) Standar</t>
  </si>
  <si>
    <t>3. Rincian Daftar Harga Jual DCC Cut Tray (Ayam Crispy Saus Barbeque Spicy + Kentang French Fries) Standar</t>
  </si>
  <si>
    <t>4. Rincian Daftar Harga Jual DCC Cut Tray (Ayam Crispy Saus Teriyaki + Kentang French Fries) Standar</t>
  </si>
  <si>
    <t>5. Rincian Daftar Harga Jual DCC Cut Tray (Ayam Crispy Saus Lada Hitam + Kentang French Fries) Standar</t>
  </si>
  <si>
    <t>6. Rincian Daftar Harga Jual DCC Cut Tray (Ayam Crispy Saus Keju + Kentang French Fries) Standar</t>
  </si>
  <si>
    <t xml:space="preserve">7. Rincian Daftar Harga Jual DCC Cut Tray (Kentang French Fries) </t>
  </si>
  <si>
    <t>1. Rincian Daftar Harga Jual DCC Cut Tray (Ayam Crispy + Kentang French Fries) Double</t>
  </si>
  <si>
    <t>2. Rincian Daftar Harga Jual DCC Cut Tray (Ayam Crispy Saus Sadis + Kentang French Fries) Double</t>
  </si>
  <si>
    <t>3. Rincian Daftar Harga Jual DCC Cut Tray (Ayam Crispy Saus Barbeque Spicy + Kentang French Fries) Double</t>
  </si>
  <si>
    <t>4. Rincian Daftar Harga Jual DCC Cut Tray (Ayam Crispy Saus Teriyaki + Kentang French Fries) Double</t>
  </si>
  <si>
    <t>5. Rincian Daftar Harga Jual DCC Cut Tray (Ayam Crispy Saus Lada Hitam + Kentang French Fries) Double</t>
  </si>
  <si>
    <t>6. Rincian Daftar Harga Jual DCC Cut Tray (Ayam Crispy Saus Keju + Kentang French Fries) Double</t>
  </si>
  <si>
    <t>HPP DAN HARGA JUAL DCC CUT TRAY (AYAM CRISPY ORIGINAL + NASI) STANDAR</t>
  </si>
  <si>
    <t>HPP DAN HARGA JUAL DCC CUT TRAY (AYAM CRISPY ORIGINAL + NASI) DOUBLE</t>
  </si>
  <si>
    <t>HPP DAN HARGA JUAL DCC CUT TRAY (AYAM CRISPY SAUS SADIS + NASI) STANDAR</t>
  </si>
  <si>
    <t>HPP DAN HARGA JUAL DCC CUT TRAY (AYAM CRISPY SAUS BARBEQUE SPICY + NASI) STANDAR</t>
  </si>
  <si>
    <t>HPP DAN HARGA JUAL DCC CUT TRAY (AYAM CRISPY SAUS BARBEQUE SPICY + NASI) DOUBLE</t>
  </si>
  <si>
    <t>HPP DAN HARGA JUAL DCC CUT TRAY (AYAM CRISPY SAUS SADIS + NASI) DOUBLE</t>
  </si>
  <si>
    <t>HPP DAN HARGA JUAL DCC CUT TRAY (AYAM CRISPY SAUS TERIYAKI + NASI) STANDAR</t>
  </si>
  <si>
    <t>HPP DAN HARGA JUAL DCC CUT TRAY (AYAM CRISPY SAUS LADA HITAM + NASI) STANDAR</t>
  </si>
  <si>
    <t>HPP DAN HARGA JUAL DCC CUT TRAY (AYAM CRISPY SAUS LADA HITAM + NASI) DOUBLE</t>
  </si>
  <si>
    <t>HPP DAN HARGA JUAL DCC CUT TRAY (AYAM CRISPY SAUS KEJU + NASI) STANDAR</t>
  </si>
  <si>
    <t>HPP DAN HARGA JUAL DCC CUT TRAY (AYAM CRISPY SAUS KEJU + NASI) DOUBLE</t>
  </si>
  <si>
    <t>1. Rincian Daftar Harga Jual DCC Cut Tray (Ayam Crispy Original + Nasi) Standar</t>
  </si>
  <si>
    <t>2. Rincian Daftar Harga Jual DCC Cut Tray (Ayam Crispy Saus Sadis + Nasi) Standar</t>
  </si>
  <si>
    <t>3. Rincian Daftar Harga Jual DCC Cut Tray (Ayam Crispy Saus Barbeque Spicy + Nasi) Standar</t>
  </si>
  <si>
    <t>4. Rincian Daftar Harga Jual DCC Cut Tray (Ayam Crispy Saus Teriyaki + Nasi) Standar</t>
  </si>
  <si>
    <t>5. Rincian Daftar Harga Jual DCC Cut Tray (Ayam Crispy Saus Lada Hitam + Nasi) Standar</t>
  </si>
  <si>
    <t>6. Rincian Daftar Harga Jual DCC Cut Tray (Ayam Crispy Saus Keju + Nasi) Standar</t>
  </si>
  <si>
    <t>1. Rincian Daftar Harga Jual DCC Cut Tray (Ayam Crispy + Nasi) Double</t>
  </si>
  <si>
    <t>2. Rincian Daftar Harga Jual DCC Cut Tray (Ayam Crispy Saus Sadis + Nasi) Double</t>
  </si>
  <si>
    <t>3. Rincian Daftar Harga Jual DCC Cut Tray (Ayam Crispy Saus Barbeque Spicy + Nasi) Double</t>
  </si>
  <si>
    <t>4. Rincian Daftar Harga Jual DCC Cut Tray (Ayam Crispy Saus Teriyaki + Nasi) Double</t>
  </si>
  <si>
    <t>5. Rincian Daftar Harga Jual DCC Cut Tray (Ayam Crispy Saus Lada Hitam + Nasi) Double</t>
  </si>
  <si>
    <t>6. Rincian Daftar Harga Jual DCC Cut Tray (Ayam Crispy Saus Keju + Nasi) Double</t>
  </si>
  <si>
    <t>HPP DAN HARGA JUAL DCC CUT TRAY (AYAM CRISPY SAUS TERIYAKI + NASI) DOUBLE</t>
  </si>
  <si>
    <t>Ayam karkas Brt 1.000 / 1.100 gr</t>
  </si>
  <si>
    <t>Bumbu Marinasi Ayam</t>
  </si>
  <si>
    <t>Ayam Karkas 1 ekor 800/900 gr</t>
  </si>
  <si>
    <t>Ayam Potong 10 Rata</t>
  </si>
  <si>
    <t>1. Hpp Marinasi Ayam Bagian Dada &amp; Paha Atas</t>
  </si>
  <si>
    <t>Ayam 10 potong</t>
  </si>
  <si>
    <t xml:space="preserve">Bumbu Marinasi </t>
  </si>
  <si>
    <t>Dibagi / Potong</t>
  </si>
  <si>
    <t>2. Hpp Pencelup</t>
  </si>
  <si>
    <t>3. Hpp Tepung Premix Crispy</t>
  </si>
  <si>
    <t xml:space="preserve">4. HPP 1 Potong Ayam Krispy Matang </t>
  </si>
  <si>
    <t>Ayam Marinasi</t>
  </si>
  <si>
    <t>1. Hpp Marinasi Ayam 1 Ekor</t>
  </si>
  <si>
    <t>Ayam 800/900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</si>
</sst>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Rp&quot;* #,##0_-;\-&quot;Rp&quot;* #,##0_-;_-&quot;Rp&quot;* &quot;-&quot;_-;_-@_-"/>
    <numFmt numFmtId="41" formatCode="_-* #,##0_-;\-* #,##0_-;_-* &quot;-&quot;_-;_-@_-"/>
    <numFmt numFmtId="44" formatCode="_-&quot;Rp&quot;* #,##0.00_-;\-&quot;Rp&quot;* #,##0.00_-;_-&quot;Rp&quot;* &quot;-&quot;??_-;_-@_-"/>
    <numFmt numFmtId="164" formatCode="_-&quot;Rp&quot;* #,##0_-;\-&quot;Rp&quot;* #,##0_-;_-&quot;Rp&quot;* &quot;-&quot;??_-;_-@_-"/>
    <numFmt numFmtId="165" formatCode="_-[$Rp-3809]* #,##0_-;\-[$Rp-3809]* #,##0_-;_-[$Rp-3809]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11"/>
      <color rgb="FF000000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4"/>
      <color theme="1"/>
      <name val="Times New Roman"/>
      <family val="1"/>
    </font>
    <font>
      <b/>
      <sz val="13"/>
      <color theme="1"/>
      <name val="Times New Roman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FF"/>
        <bgColor rgb="FF00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FFFF"/>
      </patternFill>
    </fill>
    <fill>
      <patternFill patternType="solid">
        <fgColor theme="9" tint="0.39997558519241921"/>
        <bgColor rgb="FFFFF2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2CC"/>
      </patternFill>
    </fill>
    <fill>
      <patternFill patternType="solid">
        <fgColor theme="4" tint="0.59999389629810485"/>
        <bgColor rgb="FF00FFFF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FFFF"/>
      </patternFill>
    </fill>
    <fill>
      <patternFill patternType="solid">
        <fgColor rgb="FFFFC000"/>
        <bgColor rgb="FFFFF2CC"/>
      </patternFill>
    </fill>
    <fill>
      <patternFill patternType="solid">
        <fgColor theme="4" tint="0.59999389629810485"/>
        <bgColor rgb="FFFFF2CC"/>
      </patternFill>
    </fill>
    <fill>
      <patternFill patternType="solid">
        <fgColor theme="0"/>
        <bgColor rgb="FF00FFFF"/>
      </patternFill>
    </fill>
    <fill>
      <patternFill patternType="solid">
        <fgColor rgb="FFFCB330"/>
        <bgColor rgb="FF00FFFF"/>
      </patternFill>
    </fill>
    <fill>
      <patternFill patternType="solid">
        <fgColor theme="8" tint="0.59999389629810485"/>
        <bgColor rgb="FF00FFFF"/>
      </patternFill>
    </fill>
    <fill>
      <patternFill patternType="solid">
        <fgColor rgb="FFFFFF00"/>
        <bgColor rgb="FF00FFFF"/>
      </patternFill>
    </fill>
    <fill>
      <patternFill patternType="solid">
        <fgColor rgb="FFCCFF33"/>
        <bgColor indexed="64"/>
      </patternFill>
    </fill>
    <fill>
      <patternFill patternType="solid">
        <fgColor rgb="FFCCFF33"/>
        <bgColor rgb="FF00FFFF"/>
      </patternFill>
    </fill>
    <fill>
      <patternFill patternType="solid">
        <fgColor rgb="FF00206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42" fontId="5" fillId="0" borderId="0" applyFont="0" applyFill="0" applyBorder="0" applyAlignment="0" applyProtection="0"/>
    <xf numFmtId="0" fontId="5" fillId="0" borderId="0"/>
    <xf numFmtId="41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</cellStyleXfs>
  <cellXfs count="273">
    <xf numFmtId="0" fontId="0" fillId="0" borderId="0" xfId="0"/>
    <xf numFmtId="0" fontId="1" fillId="0" borderId="0" xfId="0" applyFont="1"/>
    <xf numFmtId="0" fontId="2" fillId="0" borderId="0" xfId="0" applyFont="1"/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5" xfId="0" applyFont="1" applyBorder="1"/>
    <xf numFmtId="42" fontId="1" fillId="0" borderId="5" xfId="0" applyNumberFormat="1" applyFont="1" applyBorder="1" applyAlignment="1">
      <alignment horizontal="center"/>
    </xf>
    <xf numFmtId="0" fontId="2" fillId="0" borderId="0" xfId="0" applyFont="1" applyAlignment="1">
      <alignment horizontal="left" vertical="top"/>
    </xf>
    <xf numFmtId="0" fontId="1" fillId="0" borderId="6" xfId="0" applyFont="1" applyBorder="1"/>
    <xf numFmtId="0" fontId="1" fillId="0" borderId="6" xfId="0" applyFont="1" applyBorder="1" applyAlignment="1">
      <alignment horizontal="center"/>
    </xf>
    <xf numFmtId="42" fontId="1" fillId="0" borderId="6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/>
    <xf numFmtId="0" fontId="1" fillId="0" borderId="7" xfId="0" applyFont="1" applyBorder="1" applyAlignment="1">
      <alignment horizontal="center" vertical="top"/>
    </xf>
    <xf numFmtId="42" fontId="1" fillId="0" borderId="7" xfId="0" applyNumberFormat="1" applyFont="1" applyBorder="1"/>
    <xf numFmtId="0" fontId="1" fillId="0" borderId="5" xfId="0" applyFont="1" applyBorder="1" applyAlignment="1">
      <alignment horizontal="center" vertical="top"/>
    </xf>
    <xf numFmtId="42" fontId="1" fillId="0" borderId="5" xfId="0" applyNumberFormat="1" applyFont="1" applyBorder="1"/>
    <xf numFmtId="0" fontId="1" fillId="0" borderId="7" xfId="0" applyFont="1" applyBorder="1" applyAlignment="1">
      <alignment horizontal="center"/>
    </xf>
    <xf numFmtId="42" fontId="1" fillId="0" borderId="7" xfId="0" applyNumberFormat="1" applyFont="1" applyBorder="1" applyAlignment="1">
      <alignment horizontal="center"/>
    </xf>
    <xf numFmtId="42" fontId="1" fillId="0" borderId="8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2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2" fontId="1" fillId="0" borderId="1" xfId="0" applyNumberFormat="1" applyFont="1" applyBorder="1"/>
    <xf numFmtId="0" fontId="1" fillId="0" borderId="10" xfId="0" applyFont="1" applyBorder="1"/>
    <xf numFmtId="42" fontId="1" fillId="0" borderId="10" xfId="0" applyNumberFormat="1" applyFont="1" applyBorder="1"/>
    <xf numFmtId="0" fontId="1" fillId="0" borderId="11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1" xfId="0" applyFont="1" applyBorder="1"/>
    <xf numFmtId="0" fontId="1" fillId="0" borderId="14" xfId="0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4" xfId="0" applyFont="1" applyBorder="1"/>
    <xf numFmtId="42" fontId="1" fillId="0" borderId="14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4" fillId="0" borderId="0" xfId="0" applyFont="1"/>
    <xf numFmtId="0" fontId="1" fillId="0" borderId="0" xfId="0" applyFont="1" applyAlignment="1">
      <alignment horizontal="left" vertical="center"/>
    </xf>
    <xf numFmtId="0" fontId="3" fillId="0" borderId="7" xfId="0" applyFont="1" applyBorder="1"/>
    <xf numFmtId="42" fontId="1" fillId="0" borderId="7" xfId="0" applyNumberFormat="1" applyFont="1" applyBorder="1" applyAlignment="1">
      <alignment horizontal="right" vertical="center"/>
    </xf>
    <xf numFmtId="0" fontId="1" fillId="0" borderId="0" xfId="0" applyFont="1" applyAlignment="1">
      <alignment horizontal="left" vertical="top"/>
    </xf>
    <xf numFmtId="0" fontId="1" fillId="0" borderId="15" xfId="0" applyFont="1" applyBorder="1"/>
    <xf numFmtId="42" fontId="1" fillId="0" borderId="16" xfId="0" applyNumberFormat="1" applyFont="1" applyBorder="1" applyAlignment="1">
      <alignment horizontal="center"/>
    </xf>
    <xf numFmtId="0" fontId="1" fillId="0" borderId="11" xfId="0" applyFont="1" applyBorder="1"/>
    <xf numFmtId="42" fontId="2" fillId="2" borderId="7" xfId="0" applyNumberFormat="1" applyFont="1" applyFill="1" applyBorder="1"/>
    <xf numFmtId="0" fontId="2" fillId="5" borderId="9" xfId="0" applyFont="1" applyFill="1" applyBorder="1" applyAlignment="1">
      <alignment horizontal="center" vertical="center"/>
    </xf>
    <xf numFmtId="42" fontId="2" fillId="5" borderId="7" xfId="0" applyNumberFormat="1" applyFont="1" applyFill="1" applyBorder="1"/>
    <xf numFmtId="0" fontId="1" fillId="7" borderId="13" xfId="0" applyFont="1" applyFill="1" applyBorder="1" applyAlignment="1">
      <alignment horizontal="center"/>
    </xf>
    <xf numFmtId="0" fontId="2" fillId="7" borderId="13" xfId="0" applyFont="1" applyFill="1" applyBorder="1" applyAlignment="1">
      <alignment horizontal="center" vertical="center"/>
    </xf>
    <xf numFmtId="42" fontId="2" fillId="8" borderId="7" xfId="0" applyNumberFormat="1" applyFont="1" applyFill="1" applyBorder="1" applyAlignment="1">
      <alignment horizontal="center" vertical="center"/>
    </xf>
    <xf numFmtId="0" fontId="1" fillId="0" borderId="17" xfId="2" applyFont="1" applyBorder="1"/>
    <xf numFmtId="0" fontId="1" fillId="0" borderId="5" xfId="2" applyFont="1" applyBorder="1"/>
    <xf numFmtId="42" fontId="1" fillId="0" borderId="5" xfId="1" applyFont="1" applyBorder="1" applyAlignment="1">
      <alignment horizontal="right"/>
    </xf>
    <xf numFmtId="42" fontId="1" fillId="0" borderId="7" xfId="1" applyFont="1" applyFill="1" applyBorder="1" applyAlignment="1">
      <alignment horizontal="right"/>
    </xf>
    <xf numFmtId="0" fontId="2" fillId="9" borderId="0" xfId="0" applyFont="1" applyFill="1"/>
    <xf numFmtId="0" fontId="1" fillId="9" borderId="0" xfId="0" applyFont="1" applyFill="1"/>
    <xf numFmtId="0" fontId="1" fillId="0" borderId="17" xfId="0" applyFont="1" applyBorder="1" applyAlignment="1">
      <alignment horizontal="center"/>
    </xf>
    <xf numFmtId="42" fontId="1" fillId="0" borderId="17" xfId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7" xfId="0" applyFont="1" applyBorder="1"/>
    <xf numFmtId="0" fontId="1" fillId="0" borderId="19" xfId="0" applyFont="1" applyBorder="1" applyAlignment="1">
      <alignment horizontal="center" vertical="top"/>
    </xf>
    <xf numFmtId="42" fontId="1" fillId="0" borderId="6" xfId="0" applyNumberFormat="1" applyFont="1" applyBorder="1" applyAlignment="1">
      <alignment horizontal="center" vertical="top"/>
    </xf>
    <xf numFmtId="42" fontId="1" fillId="0" borderId="5" xfId="1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42" fontId="1" fillId="0" borderId="1" xfId="1" applyFont="1" applyBorder="1"/>
    <xf numFmtId="0" fontId="1" fillId="0" borderId="7" xfId="0" applyFont="1" applyBorder="1" applyAlignment="1">
      <alignment vertical="center"/>
    </xf>
    <xf numFmtId="0" fontId="1" fillId="0" borderId="7" xfId="1" applyNumberFormat="1" applyFont="1" applyBorder="1"/>
    <xf numFmtId="3" fontId="1" fillId="0" borderId="11" xfId="0" applyNumberFormat="1" applyFont="1" applyBorder="1" applyAlignment="1">
      <alignment horizontal="center" vertical="center"/>
    </xf>
    <xf numFmtId="3" fontId="1" fillId="0" borderId="12" xfId="0" applyNumberFormat="1" applyFont="1" applyBorder="1" applyAlignment="1">
      <alignment horizontal="center" vertical="center"/>
    </xf>
    <xf numFmtId="42" fontId="2" fillId="4" borderId="7" xfId="1" applyFont="1" applyFill="1" applyBorder="1" applyAlignment="1">
      <alignment vertical="center"/>
    </xf>
    <xf numFmtId="3" fontId="1" fillId="0" borderId="0" xfId="0" applyNumberFormat="1" applyFont="1" applyAlignment="1">
      <alignment vertical="center"/>
    </xf>
    <xf numFmtId="42" fontId="2" fillId="4" borderId="7" xfId="1" applyFont="1" applyFill="1" applyBorder="1"/>
    <xf numFmtId="0" fontId="1" fillId="0" borderId="0" xfId="0" applyFont="1" applyAlignment="1">
      <alignment vertical="center"/>
    </xf>
    <xf numFmtId="42" fontId="2" fillId="0" borderId="0" xfId="1" applyFont="1" applyFill="1" applyBorder="1"/>
    <xf numFmtId="0" fontId="1" fillId="9" borderId="0" xfId="0" applyFont="1" applyFill="1" applyAlignment="1">
      <alignment horizontal="left" vertical="center"/>
    </xf>
    <xf numFmtId="0" fontId="1" fillId="10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/>
    </xf>
    <xf numFmtId="42" fontId="1" fillId="0" borderId="7" xfId="1" applyFont="1" applyBorder="1"/>
    <xf numFmtId="0" fontId="1" fillId="9" borderId="0" xfId="0" applyFont="1" applyFill="1" applyAlignment="1">
      <alignment horizontal="center" vertical="top"/>
    </xf>
    <xf numFmtId="0" fontId="6" fillId="0" borderId="7" xfId="0" applyFont="1" applyBorder="1" applyAlignment="1">
      <alignment horizontal="right"/>
    </xf>
    <xf numFmtId="0" fontId="1" fillId="11" borderId="13" xfId="0" applyFont="1" applyFill="1" applyBorder="1" applyAlignment="1">
      <alignment horizontal="center"/>
    </xf>
    <xf numFmtId="0" fontId="2" fillId="0" borderId="2" xfId="0" applyFont="1" applyBorder="1"/>
    <xf numFmtId="0" fontId="1" fillId="6" borderId="22" xfId="0" applyFont="1" applyFill="1" applyBorder="1"/>
    <xf numFmtId="0" fontId="1" fillId="2" borderId="9" xfId="0" applyFont="1" applyFill="1" applyBorder="1"/>
    <xf numFmtId="0" fontId="1" fillId="5" borderId="9" xfId="0" applyFont="1" applyFill="1" applyBorder="1"/>
    <xf numFmtId="0" fontId="2" fillId="0" borderId="0" xfId="2" applyFont="1"/>
    <xf numFmtId="0" fontId="1" fillId="0" borderId="0" xfId="2" applyFont="1"/>
    <xf numFmtId="0" fontId="1" fillId="0" borderId="17" xfId="2" applyFont="1" applyBorder="1" applyAlignment="1">
      <alignment horizontal="center"/>
    </xf>
    <xf numFmtId="0" fontId="1" fillId="0" borderId="5" xfId="2" applyFont="1" applyBorder="1" applyAlignment="1">
      <alignment horizontal="center"/>
    </xf>
    <xf numFmtId="0" fontId="1" fillId="0" borderId="8" xfId="2" applyFont="1" applyBorder="1"/>
    <xf numFmtId="42" fontId="1" fillId="0" borderId="5" xfId="1" applyFont="1" applyBorder="1"/>
    <xf numFmtId="0" fontId="1" fillId="0" borderId="5" xfId="2" applyFont="1" applyBorder="1" applyAlignment="1">
      <alignment horizontal="right" vertical="center"/>
    </xf>
    <xf numFmtId="0" fontId="6" fillId="0" borderId="0" xfId="2" applyFont="1"/>
    <xf numFmtId="0" fontId="1" fillId="0" borderId="5" xfId="2" applyFont="1" applyBorder="1" applyAlignment="1">
      <alignment horizontal="left" vertical="center"/>
    </xf>
    <xf numFmtId="0" fontId="1" fillId="7" borderId="13" xfId="2" applyFont="1" applyFill="1" applyBorder="1" applyAlignment="1">
      <alignment horizontal="center"/>
    </xf>
    <xf numFmtId="42" fontId="2" fillId="8" borderId="5" xfId="2" applyNumberFormat="1" applyFont="1" applyFill="1" applyBorder="1" applyAlignment="1">
      <alignment horizontal="center" vertical="center"/>
    </xf>
    <xf numFmtId="0" fontId="1" fillId="0" borderId="23" xfId="0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0" fontId="2" fillId="0" borderId="0" xfId="0" applyFont="1" applyAlignment="1">
      <alignment vertical="top"/>
    </xf>
    <xf numFmtId="0" fontId="1" fillId="13" borderId="13" xfId="0" applyFont="1" applyFill="1" applyBorder="1" applyAlignment="1">
      <alignment horizontal="center"/>
    </xf>
    <xf numFmtId="42" fontId="2" fillId="14" borderId="7" xfId="0" applyNumberFormat="1" applyFont="1" applyFill="1" applyBorder="1" applyAlignment="1">
      <alignment horizontal="center" vertical="center"/>
    </xf>
    <xf numFmtId="0" fontId="2" fillId="13" borderId="13" xfId="0" applyFont="1" applyFill="1" applyBorder="1" applyAlignment="1">
      <alignment horizontal="center" vertical="center"/>
    </xf>
    <xf numFmtId="0" fontId="1" fillId="12" borderId="9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0" borderId="26" xfId="0" applyFont="1" applyBorder="1" applyAlignment="1">
      <alignment horizontal="left" vertical="center"/>
    </xf>
    <xf numFmtId="0" fontId="3" fillId="0" borderId="27" xfId="0" applyFont="1" applyBorder="1"/>
    <xf numFmtId="42" fontId="1" fillId="0" borderId="17" xfId="0" applyNumberFormat="1" applyFont="1" applyBorder="1"/>
    <xf numFmtId="0" fontId="1" fillId="0" borderId="18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42" fontId="1" fillId="0" borderId="5" xfId="0" applyNumberFormat="1" applyFont="1" applyBorder="1" applyAlignment="1">
      <alignment horizontal="right" vertical="center"/>
    </xf>
    <xf numFmtId="42" fontId="1" fillId="15" borderId="5" xfId="0" applyNumberFormat="1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/>
    </xf>
    <xf numFmtId="0" fontId="1" fillId="0" borderId="16" xfId="0" applyFont="1" applyBorder="1"/>
    <xf numFmtId="0" fontId="1" fillId="0" borderId="12" xfId="0" applyFont="1" applyBorder="1"/>
    <xf numFmtId="0" fontId="2" fillId="16" borderId="7" xfId="0" applyFont="1" applyFill="1" applyBorder="1" applyAlignment="1">
      <alignment horizontal="center"/>
    </xf>
    <xf numFmtId="0" fontId="2" fillId="17" borderId="7" xfId="0" applyFont="1" applyFill="1" applyBorder="1" applyAlignment="1">
      <alignment horizontal="center"/>
    </xf>
    <xf numFmtId="0" fontId="2" fillId="18" borderId="7" xfId="0" applyFont="1" applyFill="1" applyBorder="1" applyAlignment="1">
      <alignment horizontal="center"/>
    </xf>
    <xf numFmtId="42" fontId="1" fillId="0" borderId="0" xfId="0" applyNumberFormat="1" applyFont="1" applyAlignment="1">
      <alignment horizontal="center"/>
    </xf>
    <xf numFmtId="42" fontId="1" fillId="0" borderId="29" xfId="0" applyNumberFormat="1" applyFont="1" applyBorder="1" applyAlignment="1">
      <alignment horizontal="center"/>
    </xf>
    <xf numFmtId="42" fontId="1" fillId="0" borderId="11" xfId="0" applyNumberFormat="1" applyFont="1" applyBorder="1"/>
    <xf numFmtId="0" fontId="1" fillId="0" borderId="7" xfId="0" applyFont="1" applyBorder="1" applyAlignment="1">
      <alignment horizontal="left"/>
    </xf>
    <xf numFmtId="42" fontId="1" fillId="0" borderId="7" xfId="5" applyFont="1" applyBorder="1" applyAlignment="1">
      <alignment horizontal="center"/>
    </xf>
    <xf numFmtId="42" fontId="1" fillId="0" borderId="0" xfId="0" applyNumberFormat="1" applyFont="1" applyAlignment="1">
      <alignment horizontal="center" vertical="center"/>
    </xf>
    <xf numFmtId="0" fontId="3" fillId="0" borderId="0" xfId="0" applyFont="1"/>
    <xf numFmtId="42" fontId="1" fillId="0" borderId="0" xfId="0" applyNumberFormat="1" applyFont="1"/>
    <xf numFmtId="42" fontId="1" fillId="0" borderId="0" xfId="0" applyNumberFormat="1" applyFont="1" applyAlignment="1">
      <alignment horizontal="right" vertical="center"/>
    </xf>
    <xf numFmtId="0" fontId="1" fillId="9" borderId="12" xfId="0" applyFont="1" applyFill="1" applyBorder="1"/>
    <xf numFmtId="0" fontId="1" fillId="9" borderId="7" xfId="0" applyFont="1" applyFill="1" applyBorder="1" applyAlignment="1">
      <alignment horizontal="center" vertical="center"/>
    </xf>
    <xf numFmtId="0" fontId="1" fillId="9" borderId="7" xfId="0" applyFont="1" applyFill="1" applyBorder="1"/>
    <xf numFmtId="0" fontId="2" fillId="19" borderId="7" xfId="0" applyFont="1" applyFill="1" applyBorder="1" applyAlignment="1">
      <alignment horizontal="center"/>
    </xf>
    <xf numFmtId="0" fontId="2" fillId="16" borderId="0" xfId="0" applyFont="1" applyFill="1"/>
    <xf numFmtId="0" fontId="10" fillId="0" borderId="0" xfId="0" applyFont="1" applyAlignment="1">
      <alignment horizontal="center"/>
    </xf>
    <xf numFmtId="0" fontId="8" fillId="0" borderId="0" xfId="0" applyFont="1"/>
    <xf numFmtId="0" fontId="11" fillId="0" borderId="7" xfId="0" applyFont="1" applyBorder="1" applyAlignment="1">
      <alignment horizontal="center"/>
    </xf>
    <xf numFmtId="0" fontId="11" fillId="0" borderId="7" xfId="0" applyFont="1" applyBorder="1" applyAlignment="1">
      <alignment horizontal="left"/>
    </xf>
    <xf numFmtId="42" fontId="11" fillId="0" borderId="7" xfId="0" applyNumberFormat="1" applyFont="1" applyBorder="1" applyAlignment="1">
      <alignment horizontal="center"/>
    </xf>
    <xf numFmtId="164" fontId="11" fillId="0" borderId="7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42" fontId="11" fillId="0" borderId="7" xfId="0" applyNumberFormat="1" applyFont="1" applyBorder="1"/>
    <xf numFmtId="164" fontId="12" fillId="0" borderId="7" xfId="4" applyNumberFormat="1" applyFont="1" applyBorder="1"/>
    <xf numFmtId="164" fontId="11" fillId="0" borderId="7" xfId="0" applyNumberFormat="1" applyFont="1" applyBorder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42" fontId="11" fillId="0" borderId="0" xfId="0" applyNumberFormat="1" applyFont="1" applyAlignment="1">
      <alignment horizontal="center"/>
    </xf>
    <xf numFmtId="0" fontId="11" fillId="0" borderId="7" xfId="0" applyFont="1" applyBorder="1"/>
    <xf numFmtId="0" fontId="11" fillId="0" borderId="0" xfId="0" applyFont="1"/>
    <xf numFmtId="164" fontId="11" fillId="0" borderId="0" xfId="0" applyNumberFormat="1" applyFont="1" applyAlignment="1">
      <alignment horizontal="center"/>
    </xf>
    <xf numFmtId="42" fontId="11" fillId="0" borderId="0" xfId="0" applyNumberFormat="1" applyFont="1"/>
    <xf numFmtId="164" fontId="12" fillId="0" borderId="0" xfId="4" applyNumberFormat="1" applyFont="1" applyFill="1" applyBorder="1"/>
    <xf numFmtId="164" fontId="11" fillId="0" borderId="0" xfId="0" applyNumberFormat="1" applyFont="1"/>
    <xf numFmtId="0" fontId="1" fillId="16" borderId="7" xfId="0" applyFont="1" applyFill="1" applyBorder="1" applyAlignment="1">
      <alignment horizontal="center"/>
    </xf>
    <xf numFmtId="164" fontId="1" fillId="0" borderId="7" xfId="4" applyNumberFormat="1" applyFont="1" applyBorder="1" applyAlignment="1">
      <alignment horizontal="center"/>
    </xf>
    <xf numFmtId="164" fontId="1" fillId="0" borderId="7" xfId="4" applyNumberFormat="1" applyFont="1" applyBorder="1"/>
    <xf numFmtId="42" fontId="1" fillId="0" borderId="5" xfId="6" applyFont="1" applyBorder="1" applyAlignment="1">
      <alignment horizontal="right"/>
    </xf>
    <xf numFmtId="42" fontId="6" fillId="0" borderId="7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1" fontId="2" fillId="0" borderId="0" xfId="0" applyNumberFormat="1" applyFont="1"/>
    <xf numFmtId="0" fontId="1" fillId="19" borderId="13" xfId="0" applyFont="1" applyFill="1" applyBorder="1" applyAlignment="1">
      <alignment horizontal="center"/>
    </xf>
    <xf numFmtId="42" fontId="1" fillId="0" borderId="17" xfId="6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42" fontId="1" fillId="0" borderId="1" xfId="7" applyFont="1" applyBorder="1"/>
    <xf numFmtId="0" fontId="1" fillId="0" borderId="7" xfId="8" applyNumberFormat="1" applyFont="1" applyBorder="1" applyAlignment="1">
      <alignment horizontal="center"/>
    </xf>
    <xf numFmtId="42" fontId="2" fillId="4" borderId="7" xfId="0" applyNumberFormat="1" applyFont="1" applyFill="1" applyBorder="1"/>
    <xf numFmtId="3" fontId="14" fillId="0" borderId="0" xfId="0" applyNumberFormat="1" applyFont="1" applyAlignment="1">
      <alignment vertical="center"/>
    </xf>
    <xf numFmtId="42" fontId="2" fillId="4" borderId="7" xfId="9" applyFont="1" applyFill="1" applyBorder="1"/>
    <xf numFmtId="0" fontId="10" fillId="0" borderId="0" xfId="0" applyFont="1"/>
    <xf numFmtId="164" fontId="1" fillId="0" borderId="7" xfId="0" applyNumberFormat="1" applyFont="1" applyBorder="1" applyAlignment="1">
      <alignment horizontal="center"/>
    </xf>
    <xf numFmtId="42" fontId="1" fillId="0" borderId="19" xfId="0" applyNumberFormat="1" applyFont="1" applyBorder="1" applyAlignment="1">
      <alignment horizontal="center" vertical="center"/>
    </xf>
    <xf numFmtId="164" fontId="1" fillId="0" borderId="7" xfId="0" applyNumberFormat="1" applyFont="1" applyBorder="1"/>
    <xf numFmtId="164" fontId="2" fillId="0" borderId="7" xfId="4" applyNumberFormat="1" applyFont="1" applyBorder="1"/>
    <xf numFmtId="0" fontId="1" fillId="3" borderId="7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19" xfId="0" applyFont="1" applyBorder="1"/>
    <xf numFmtId="42" fontId="2" fillId="0" borderId="7" xfId="1" applyFont="1" applyBorder="1"/>
    <xf numFmtId="42" fontId="1" fillId="0" borderId="7" xfId="1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42" fontId="1" fillId="0" borderId="19" xfId="0" applyNumberFormat="1" applyFont="1" applyBorder="1" applyAlignment="1">
      <alignment horizontal="center"/>
    </xf>
    <xf numFmtId="0" fontId="1" fillId="0" borderId="7" xfId="2" applyFont="1" applyBorder="1"/>
    <xf numFmtId="0" fontId="1" fillId="21" borderId="13" xfId="0" applyFont="1" applyFill="1" applyBorder="1" applyAlignment="1">
      <alignment horizontal="center"/>
    </xf>
    <xf numFmtId="42" fontId="2" fillId="20" borderId="7" xfId="1" applyFont="1" applyFill="1" applyBorder="1" applyAlignment="1">
      <alignment vertical="center"/>
    </xf>
    <xf numFmtId="0" fontId="1" fillId="4" borderId="2" xfId="0" applyFont="1" applyFill="1" applyBorder="1"/>
    <xf numFmtId="0" fontId="0" fillId="20" borderId="9" xfId="0" applyFill="1" applyBorder="1"/>
    <xf numFmtId="42" fontId="11" fillId="0" borderId="10" xfId="0" applyNumberFormat="1" applyFont="1" applyBorder="1"/>
    <xf numFmtId="42" fontId="2" fillId="20" borderId="7" xfId="1" applyFont="1" applyFill="1" applyBorder="1"/>
    <xf numFmtId="42" fontId="1" fillId="0" borderId="7" xfId="1" applyFont="1" applyFill="1" applyBorder="1" applyAlignment="1">
      <alignment vertical="center"/>
    </xf>
    <xf numFmtId="3" fontId="1" fillId="0" borderId="0" xfId="0" applyNumberFormat="1" applyFont="1" applyAlignment="1">
      <alignment horizontal="center" vertical="center"/>
    </xf>
    <xf numFmtId="42" fontId="2" fillId="0" borderId="0" xfId="1" applyFont="1" applyFill="1" applyBorder="1" applyAlignment="1">
      <alignment vertical="center"/>
    </xf>
    <xf numFmtId="42" fontId="1" fillId="0" borderId="0" xfId="1" applyFont="1" applyFill="1" applyBorder="1" applyAlignment="1">
      <alignment horizontal="center"/>
    </xf>
    <xf numFmtId="42" fontId="1" fillId="0" borderId="0" xfId="1" applyFont="1" applyFill="1" applyBorder="1" applyAlignment="1">
      <alignment vertical="center"/>
    </xf>
    <xf numFmtId="165" fontId="1" fillId="0" borderId="1" xfId="3" applyNumberFormat="1" applyFont="1" applyBorder="1"/>
    <xf numFmtId="0" fontId="2" fillId="0" borderId="0" xfId="0" applyFont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2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16" borderId="11" xfId="0" applyFont="1" applyFill="1" applyBorder="1" applyAlignment="1">
      <alignment horizontal="center"/>
    </xf>
    <xf numFmtId="0" fontId="2" fillId="16" borderId="12" xfId="0" applyFont="1" applyFill="1" applyBorder="1" applyAlignment="1">
      <alignment horizontal="center"/>
    </xf>
    <xf numFmtId="0" fontId="0" fillId="22" borderId="0" xfId="0" applyFill="1"/>
    <xf numFmtId="0" fontId="11" fillId="0" borderId="0" xfId="0" applyFont="1" applyAlignment="1">
      <alignment horizontal="center" vertical="top"/>
    </xf>
    <xf numFmtId="164" fontId="0" fillId="0" borderId="0" xfId="0" applyNumberFormat="1"/>
    <xf numFmtId="42" fontId="2" fillId="0" borderId="0" xfId="0" applyNumberFormat="1" applyFont="1"/>
    <xf numFmtId="0" fontId="1" fillId="0" borderId="30" xfId="0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3" fontId="1" fillId="0" borderId="11" xfId="0" applyNumberFormat="1" applyFont="1" applyBorder="1" applyAlignment="1">
      <alignment horizontal="center" vertical="center"/>
    </xf>
    <xf numFmtId="3" fontId="1" fillId="0" borderId="12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8" xfId="2" applyFont="1" applyBorder="1" applyAlignment="1">
      <alignment horizontal="left" vertical="center"/>
    </xf>
    <xf numFmtId="0" fontId="3" fillId="0" borderId="8" xfId="2" applyFont="1" applyBorder="1"/>
    <xf numFmtId="0" fontId="1" fillId="0" borderId="18" xfId="2" applyFont="1" applyBorder="1"/>
    <xf numFmtId="3" fontId="2" fillId="6" borderId="0" xfId="0" applyNumberFormat="1" applyFont="1" applyFill="1" applyAlignment="1">
      <alignment horizontal="center"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6" fillId="0" borderId="11" xfId="0" applyFont="1" applyBorder="1"/>
    <xf numFmtId="0" fontId="6" fillId="0" borderId="12" xfId="0" applyFont="1" applyBorder="1"/>
    <xf numFmtId="3" fontId="1" fillId="0" borderId="11" xfId="0" applyNumberFormat="1" applyFont="1" applyBorder="1" applyAlignment="1">
      <alignment vertical="center"/>
    </xf>
    <xf numFmtId="3" fontId="1" fillId="0" borderId="12" xfId="0" applyNumberFormat="1" applyFont="1" applyBorder="1" applyAlignment="1">
      <alignment vertical="center"/>
    </xf>
    <xf numFmtId="0" fontId="2" fillId="20" borderId="0" xfId="0" applyFont="1" applyFill="1" applyAlignment="1">
      <alignment horizontal="center"/>
    </xf>
    <xf numFmtId="3" fontId="2" fillId="1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1" fillId="0" borderId="23" xfId="0" applyFont="1" applyBorder="1" applyAlignment="1">
      <alignment horizontal="left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2" fillId="2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1" fillId="0" borderId="0" xfId="0" applyFont="1" applyAlignment="1">
      <alignment horizontal="left" vertical="top"/>
    </xf>
    <xf numFmtId="0" fontId="1" fillId="0" borderId="25" xfId="2" applyFont="1" applyBorder="1" applyAlignment="1">
      <alignment horizontal="left" vertical="center"/>
    </xf>
    <xf numFmtId="0" fontId="1" fillId="0" borderId="19" xfId="2" applyFont="1" applyBorder="1" applyAlignment="1">
      <alignment horizontal="left" vertical="center"/>
    </xf>
    <xf numFmtId="42" fontId="1" fillId="0" borderId="7" xfId="0" applyNumberFormat="1" applyFont="1" applyBorder="1" applyAlignment="1">
      <alignment horizontal="center"/>
    </xf>
    <xf numFmtId="164" fontId="1" fillId="0" borderId="7" xfId="4" applyNumberFormat="1" applyFont="1" applyFill="1" applyBorder="1" applyAlignment="1">
      <alignment horizontal="center"/>
    </xf>
    <xf numFmtId="0" fontId="2" fillId="19" borderId="7" xfId="0" applyFont="1" applyFill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2" fillId="2" borderId="0" xfId="0" applyFont="1" applyFill="1" applyAlignment="1">
      <alignment horizontal="center" vertical="center"/>
    </xf>
    <xf numFmtId="0" fontId="2" fillId="16" borderId="7" xfId="0" applyFont="1" applyFill="1" applyBorder="1" applyAlignment="1">
      <alignment horizontal="center"/>
    </xf>
    <xf numFmtId="0" fontId="9" fillId="2" borderId="0" xfId="0" applyFont="1" applyFill="1" applyAlignment="1">
      <alignment horizontal="center" vertical="center"/>
    </xf>
    <xf numFmtId="164" fontId="11" fillId="0" borderId="7" xfId="0" applyNumberFormat="1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164" fontId="11" fillId="0" borderId="11" xfId="0" applyNumberFormat="1" applyFont="1" applyBorder="1" applyAlignment="1">
      <alignment horizontal="center"/>
    </xf>
    <xf numFmtId="164" fontId="11" fillId="0" borderId="12" xfId="0" applyNumberFormat="1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1" xfId="0" applyFont="1" applyBorder="1" applyAlignment="1">
      <alignment horizontal="center" vertical="top"/>
    </xf>
    <xf numFmtId="0" fontId="11" fillId="0" borderId="12" xfId="0" applyFont="1" applyBorder="1" applyAlignment="1">
      <alignment horizontal="center" vertical="top"/>
    </xf>
    <xf numFmtId="0" fontId="11" fillId="0" borderId="0" xfId="0" applyFont="1" applyAlignment="1">
      <alignment horizontal="center" vertical="top"/>
    </xf>
    <xf numFmtId="0" fontId="11" fillId="0" borderId="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7" xfId="0" applyFont="1" applyBorder="1" applyAlignment="1">
      <alignment horizontal="center" vertical="top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11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64" fontId="1" fillId="0" borderId="7" xfId="4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" fillId="0" borderId="7" xfId="0" applyFont="1" applyBorder="1" applyAlignment="1">
      <alignment horizontal="center" vertical="top"/>
    </xf>
    <xf numFmtId="0" fontId="1" fillId="0" borderId="7" xfId="0" applyFont="1" applyBorder="1" applyAlignment="1">
      <alignment vertical="center"/>
    </xf>
    <xf numFmtId="0" fontId="3" fillId="0" borderId="7" xfId="0" applyFont="1" applyBorder="1"/>
  </cellXfs>
  <cellStyles count="10">
    <cellStyle name="Comma [0]" xfId="3" builtinId="6"/>
    <cellStyle name="Currency" xfId="4" builtinId="4"/>
    <cellStyle name="Currency [0]" xfId="5" builtinId="7"/>
    <cellStyle name="Currency [0] 2" xfId="1" xr:uid="{BE1B471E-0FAC-4B26-BF9F-82120E7F6C31}"/>
    <cellStyle name="Normal" xfId="0" builtinId="0"/>
    <cellStyle name="Normal 3" xfId="2" xr:uid="{773DE23F-AFA3-4B0F-A25F-9B6CF50B384E}"/>
    <cellStyle name="Style 1" xfId="6" xr:uid="{DBB9CAFC-F25D-412E-8035-25E5308A66CB}"/>
    <cellStyle name="Style 2" xfId="7" xr:uid="{EFF9CEE3-D821-485B-B081-FB152B0AE3C7}"/>
    <cellStyle name="Style 3" xfId="8" xr:uid="{D158DB18-5787-42F7-8EC2-BEF1FC11F515}"/>
    <cellStyle name="Style 4" xfId="9" xr:uid="{7F5CADC9-FFE5-45C2-92F1-B059C22687EE}"/>
  </cellStyles>
  <dxfs count="0"/>
  <tableStyles count="0" defaultTableStyle="TableStyleMedium2" defaultPivotStyle="PivotStyleLight16"/>
  <colors>
    <mruColors>
      <color rgb="FF00FFFF"/>
      <color rgb="FFCCFF33"/>
      <color rgb="FFCCFF9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79742-1245-480E-BB68-3D61E75F30C4}">
  <dimension ref="B2:X153"/>
  <sheetViews>
    <sheetView tabSelected="1" topLeftCell="A13" zoomScale="82" zoomScaleNormal="82" workbookViewId="0">
      <selection activeCell="I14" sqref="I14"/>
    </sheetView>
  </sheetViews>
  <sheetFormatPr defaultRowHeight="14.25" x14ac:dyDescent="0.45"/>
  <cols>
    <col min="2" max="2" width="9" bestFit="1" customWidth="1"/>
    <col min="3" max="3" width="33.6640625" bestFit="1" customWidth="1"/>
    <col min="4" max="4" width="9" bestFit="1" customWidth="1"/>
    <col min="5" max="5" width="10.6640625" customWidth="1"/>
    <col min="6" max="6" width="13.86328125" customWidth="1"/>
    <col min="7" max="7" width="11.46484375" customWidth="1"/>
    <col min="8" max="8" width="9" bestFit="1" customWidth="1"/>
    <col min="9" max="9" width="25.33203125" customWidth="1"/>
    <col min="10" max="10" width="9" bestFit="1" customWidth="1"/>
    <col min="11" max="11" width="12.19921875" customWidth="1"/>
    <col min="12" max="12" width="14.33203125" customWidth="1"/>
  </cols>
  <sheetData>
    <row r="2" spans="2:13" x14ac:dyDescent="0.45">
      <c r="B2" s="227" t="s">
        <v>95</v>
      </c>
      <c r="C2" s="227"/>
      <c r="D2" s="227"/>
      <c r="E2" s="227"/>
      <c r="F2" s="227"/>
      <c r="G2" s="227"/>
      <c r="H2" s="227"/>
      <c r="I2" s="2"/>
      <c r="J2" s="2"/>
      <c r="K2" s="1"/>
      <c r="L2" s="1"/>
      <c r="M2" s="1"/>
    </row>
    <row r="3" spans="2:13" x14ac:dyDescent="0.4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2:13" ht="14.65" thickBot="1" x14ac:dyDescent="0.5">
      <c r="B4" s="234" t="s">
        <v>96</v>
      </c>
      <c r="C4" s="235"/>
      <c r="D4" s="235"/>
      <c r="E4" s="235"/>
      <c r="F4" s="235"/>
      <c r="G4" s="235"/>
      <c r="H4" s="1"/>
      <c r="I4" s="227"/>
      <c r="J4" s="227"/>
      <c r="K4" s="227"/>
      <c r="L4" s="227"/>
      <c r="M4" s="1"/>
    </row>
    <row r="5" spans="2:13" x14ac:dyDescent="0.45">
      <c r="B5" s="3" t="s">
        <v>0</v>
      </c>
      <c r="C5" s="3" t="s">
        <v>1</v>
      </c>
      <c r="D5" s="3" t="s">
        <v>2</v>
      </c>
      <c r="E5" s="4" t="s">
        <v>3</v>
      </c>
      <c r="F5" s="5" t="s">
        <v>4</v>
      </c>
      <c r="G5" s="4" t="s">
        <v>5</v>
      </c>
      <c r="H5" s="1"/>
      <c r="I5" s="236"/>
      <c r="J5" s="236"/>
      <c r="K5" s="236"/>
      <c r="L5" s="236"/>
      <c r="M5" s="236"/>
    </row>
    <row r="6" spans="2:13" x14ac:dyDescent="0.45">
      <c r="B6" s="6">
        <v>1</v>
      </c>
      <c r="C6" s="7" t="s">
        <v>355</v>
      </c>
      <c r="D6" s="6">
        <v>1000</v>
      </c>
      <c r="E6" s="6" t="s">
        <v>8</v>
      </c>
      <c r="F6" s="8">
        <v>34000</v>
      </c>
      <c r="G6" s="8">
        <f>F6/D6</f>
        <v>34</v>
      </c>
      <c r="H6" s="1"/>
      <c r="I6" s="236"/>
      <c r="J6" s="236"/>
      <c r="K6" s="236"/>
      <c r="L6" s="236"/>
      <c r="M6" s="236"/>
    </row>
    <row r="7" spans="2:13" x14ac:dyDescent="0.45">
      <c r="B7" s="6">
        <v>2</v>
      </c>
      <c r="C7" s="10" t="s">
        <v>357</v>
      </c>
      <c r="D7" s="11">
        <v>1</v>
      </c>
      <c r="E7" s="11" t="s">
        <v>61</v>
      </c>
      <c r="F7" s="12">
        <v>26000</v>
      </c>
      <c r="G7" s="8">
        <f>F7/D7</f>
        <v>26000</v>
      </c>
      <c r="H7" s="1"/>
      <c r="I7" s="46"/>
      <c r="J7" s="46"/>
      <c r="K7" s="46"/>
      <c r="L7" s="46"/>
      <c r="M7" s="46"/>
    </row>
    <row r="8" spans="2:13" x14ac:dyDescent="0.45">
      <c r="B8" s="6">
        <v>3</v>
      </c>
      <c r="C8" s="7" t="s">
        <v>356</v>
      </c>
      <c r="D8" s="6">
        <v>500</v>
      </c>
      <c r="E8" s="6" t="s">
        <v>8</v>
      </c>
      <c r="F8" s="8">
        <v>35150</v>
      </c>
      <c r="G8" s="8">
        <f t="shared" ref="G8" si="0">F8/D8</f>
        <v>70.3</v>
      </c>
      <c r="H8" s="1"/>
      <c r="I8" s="46"/>
      <c r="J8" s="46"/>
      <c r="K8" s="46"/>
      <c r="L8" s="46"/>
      <c r="M8" s="46"/>
    </row>
    <row r="9" spans="2:13" x14ac:dyDescent="0.45">
      <c r="B9" s="6">
        <v>4</v>
      </c>
      <c r="C9" s="7" t="s">
        <v>7</v>
      </c>
      <c r="D9" s="6">
        <v>1000</v>
      </c>
      <c r="E9" s="6" t="s">
        <v>8</v>
      </c>
      <c r="F9" s="8">
        <v>19000</v>
      </c>
      <c r="G9" s="8">
        <f t="shared" ref="G9:G26" si="1">F9/D9</f>
        <v>19</v>
      </c>
      <c r="H9" s="1"/>
      <c r="I9" s="1"/>
      <c r="J9" s="1"/>
      <c r="K9" s="1"/>
      <c r="L9" s="1"/>
      <c r="M9" s="1"/>
    </row>
    <row r="10" spans="2:13" x14ac:dyDescent="0.45">
      <c r="B10" s="6">
        <v>5</v>
      </c>
      <c r="C10" s="7" t="s">
        <v>9</v>
      </c>
      <c r="D10" s="6">
        <v>2000</v>
      </c>
      <c r="E10" s="6" t="s">
        <v>10</v>
      </c>
      <c r="F10" s="8">
        <v>35000</v>
      </c>
      <c r="G10" s="8">
        <f t="shared" si="1"/>
        <v>17.5</v>
      </c>
      <c r="H10" s="1"/>
      <c r="I10" s="106"/>
      <c r="J10" s="106"/>
      <c r="K10" s="106"/>
      <c r="L10" s="106"/>
      <c r="M10" s="106"/>
    </row>
    <row r="11" spans="2:13" x14ac:dyDescent="0.45">
      <c r="B11" s="6">
        <v>6</v>
      </c>
      <c r="C11" s="7" t="s">
        <v>11</v>
      </c>
      <c r="D11" s="6">
        <v>200</v>
      </c>
      <c r="E11" s="6" t="s">
        <v>12</v>
      </c>
      <c r="F11" s="8">
        <v>22000</v>
      </c>
      <c r="G11" s="8">
        <f t="shared" si="1"/>
        <v>110</v>
      </c>
      <c r="H11" s="1"/>
      <c r="I11" s="106"/>
      <c r="J11" s="106"/>
      <c r="K11" s="106"/>
      <c r="L11" s="106"/>
      <c r="M11" s="106"/>
    </row>
    <row r="12" spans="2:13" x14ac:dyDescent="0.45">
      <c r="B12" s="6">
        <v>7</v>
      </c>
      <c r="C12" s="7" t="s">
        <v>13</v>
      </c>
      <c r="D12" s="6">
        <v>1000</v>
      </c>
      <c r="E12" s="6" t="s">
        <v>8</v>
      </c>
      <c r="F12" s="8">
        <v>15000</v>
      </c>
      <c r="G12" s="8">
        <f t="shared" si="1"/>
        <v>15</v>
      </c>
      <c r="H12" s="1"/>
      <c r="I12" s="9"/>
      <c r="J12" s="9"/>
      <c r="K12" s="9"/>
      <c r="L12" s="9"/>
      <c r="M12" s="9"/>
    </row>
    <row r="13" spans="2:13" ht="14.65" thickBot="1" x14ac:dyDescent="0.5">
      <c r="B13" s="6">
        <v>8</v>
      </c>
      <c r="C13" s="10" t="s">
        <v>14</v>
      </c>
      <c r="D13" s="11">
        <v>10</v>
      </c>
      <c r="E13" s="11" t="s">
        <v>15</v>
      </c>
      <c r="F13" s="12">
        <v>12000</v>
      </c>
      <c r="G13" s="8">
        <f t="shared" si="1"/>
        <v>1200</v>
      </c>
      <c r="H13" s="1"/>
      <c r="I13" s="9"/>
      <c r="J13" s="9"/>
      <c r="K13" s="9"/>
      <c r="L13" s="9"/>
      <c r="M13" s="9"/>
    </row>
    <row r="14" spans="2:13" ht="14.65" thickBot="1" x14ac:dyDescent="0.5">
      <c r="B14" s="6">
        <v>9</v>
      </c>
      <c r="C14" s="7" t="s">
        <v>16</v>
      </c>
      <c r="D14" s="6">
        <v>19000</v>
      </c>
      <c r="E14" s="6" t="s">
        <v>10</v>
      </c>
      <c r="F14" s="8">
        <v>6000</v>
      </c>
      <c r="G14" s="8">
        <f t="shared" si="1"/>
        <v>0.31578947368421051</v>
      </c>
      <c r="H14" s="1"/>
      <c r="I14" s="9"/>
      <c r="J14" s="89" t="s">
        <v>85</v>
      </c>
      <c r="K14" s="1"/>
      <c r="L14" s="13"/>
      <c r="M14" s="9"/>
    </row>
    <row r="15" spans="2:13" ht="14.65" thickBot="1" x14ac:dyDescent="0.5">
      <c r="B15" s="6">
        <v>10</v>
      </c>
      <c r="C15" s="7" t="s">
        <v>17</v>
      </c>
      <c r="D15" s="6">
        <v>1000</v>
      </c>
      <c r="E15" s="6" t="s">
        <v>8</v>
      </c>
      <c r="F15" s="8">
        <v>53200</v>
      </c>
      <c r="G15" s="8">
        <f t="shared" si="1"/>
        <v>53.2</v>
      </c>
      <c r="H15" s="1"/>
      <c r="I15" s="9"/>
      <c r="J15" s="91"/>
      <c r="K15" s="229" t="s">
        <v>86</v>
      </c>
      <c r="L15" s="210"/>
      <c r="M15" s="9"/>
    </row>
    <row r="16" spans="2:13" ht="14.65" thickBot="1" x14ac:dyDescent="0.5">
      <c r="B16" s="6">
        <v>11</v>
      </c>
      <c r="C16" s="7" t="s">
        <v>18</v>
      </c>
      <c r="D16" s="6">
        <v>1000</v>
      </c>
      <c r="E16" s="6" t="s">
        <v>8</v>
      </c>
      <c r="F16" s="8">
        <v>60800</v>
      </c>
      <c r="G16" s="8">
        <f t="shared" si="1"/>
        <v>60.8</v>
      </c>
      <c r="H16" s="1"/>
      <c r="I16" s="13"/>
      <c r="J16" s="92"/>
      <c r="K16" s="229" t="s">
        <v>87</v>
      </c>
      <c r="L16" s="210"/>
      <c r="M16" s="13"/>
    </row>
    <row r="17" spans="2:13" ht="14.65" thickBot="1" x14ac:dyDescent="0.5">
      <c r="B17" s="6">
        <v>12</v>
      </c>
      <c r="C17" s="14" t="s">
        <v>19</v>
      </c>
      <c r="D17" s="6">
        <v>1000</v>
      </c>
      <c r="E17" s="15" t="s">
        <v>8</v>
      </c>
      <c r="F17" s="16">
        <v>58900</v>
      </c>
      <c r="G17" s="8">
        <f t="shared" si="1"/>
        <v>58.9</v>
      </c>
      <c r="H17" s="1"/>
      <c r="I17" s="13"/>
      <c r="J17" s="188"/>
      <c r="K17" s="229" t="s">
        <v>88</v>
      </c>
      <c r="L17" s="210"/>
      <c r="M17" s="13"/>
    </row>
    <row r="18" spans="2:13" ht="14.65" thickBot="1" x14ac:dyDescent="0.5">
      <c r="B18" s="6">
        <v>13</v>
      </c>
      <c r="C18" s="7" t="s">
        <v>20</v>
      </c>
      <c r="D18" s="6">
        <v>1000</v>
      </c>
      <c r="E18" s="17" t="s">
        <v>8</v>
      </c>
      <c r="F18" s="18">
        <v>61750</v>
      </c>
      <c r="G18" s="8">
        <f t="shared" si="1"/>
        <v>61.75</v>
      </c>
      <c r="H18" s="1"/>
      <c r="I18" s="1"/>
      <c r="J18" s="189"/>
      <c r="K18" s="209" t="s">
        <v>255</v>
      </c>
      <c r="L18" s="210"/>
      <c r="M18" s="1"/>
    </row>
    <row r="19" spans="2:13" ht="14.65" thickBot="1" x14ac:dyDescent="0.5">
      <c r="B19" s="6">
        <v>14</v>
      </c>
      <c r="C19" s="7" t="s">
        <v>21</v>
      </c>
      <c r="D19" s="6">
        <v>1000</v>
      </c>
      <c r="E19" s="17" t="s">
        <v>8</v>
      </c>
      <c r="F19" s="18">
        <v>57000</v>
      </c>
      <c r="G19" s="8">
        <f t="shared" si="1"/>
        <v>57</v>
      </c>
      <c r="H19" s="1"/>
      <c r="I19" s="13"/>
      <c r="J19" s="90"/>
      <c r="K19" s="229" t="s">
        <v>110</v>
      </c>
      <c r="L19" s="210"/>
      <c r="M19" s="13"/>
    </row>
    <row r="20" spans="2:13" ht="14.65" thickBot="1" x14ac:dyDescent="0.5">
      <c r="B20" s="6">
        <v>15</v>
      </c>
      <c r="C20" s="10" t="s">
        <v>22</v>
      </c>
      <c r="D20" s="11">
        <v>24</v>
      </c>
      <c r="E20" s="11" t="s">
        <v>23</v>
      </c>
      <c r="F20" s="12">
        <v>12000</v>
      </c>
      <c r="G20" s="8">
        <f t="shared" si="1"/>
        <v>500</v>
      </c>
      <c r="H20" s="1"/>
      <c r="I20" s="1"/>
      <c r="J20" s="110"/>
      <c r="K20" s="104" t="s">
        <v>109</v>
      </c>
      <c r="L20" s="105"/>
      <c r="M20" s="1"/>
    </row>
    <row r="21" spans="2:13" x14ac:dyDescent="0.45">
      <c r="B21" s="6">
        <v>16</v>
      </c>
      <c r="C21" s="14" t="s">
        <v>24</v>
      </c>
      <c r="D21" s="19">
        <v>160</v>
      </c>
      <c r="E21" s="19" t="s">
        <v>8</v>
      </c>
      <c r="F21" s="20">
        <v>26000</v>
      </c>
      <c r="G21" s="21">
        <f t="shared" si="1"/>
        <v>162.5</v>
      </c>
      <c r="H21" s="1"/>
      <c r="I21" s="1"/>
      <c r="J21" s="1"/>
      <c r="K21" s="1"/>
      <c r="L21" s="1"/>
      <c r="M21" s="1"/>
    </row>
    <row r="22" spans="2:13" x14ac:dyDescent="0.45">
      <c r="B22" s="6">
        <v>17</v>
      </c>
      <c r="C22" s="14" t="s">
        <v>25</v>
      </c>
      <c r="D22" s="19">
        <v>1000</v>
      </c>
      <c r="E22" s="19" t="s">
        <v>8</v>
      </c>
      <c r="F22" s="20">
        <v>66500</v>
      </c>
      <c r="G22" s="21">
        <f t="shared" si="1"/>
        <v>66.5</v>
      </c>
      <c r="H22" s="1"/>
      <c r="M22" s="1"/>
    </row>
    <row r="23" spans="2:13" x14ac:dyDescent="0.45">
      <c r="B23" s="6">
        <v>18</v>
      </c>
      <c r="C23" s="14" t="s">
        <v>26</v>
      </c>
      <c r="D23" s="19">
        <v>1000</v>
      </c>
      <c r="E23" s="19" t="s">
        <v>8</v>
      </c>
      <c r="F23" s="20">
        <v>60800</v>
      </c>
      <c r="G23" s="21">
        <f t="shared" si="1"/>
        <v>60.8</v>
      </c>
      <c r="H23" s="1"/>
      <c r="I23" s="1"/>
      <c r="M23" s="1"/>
    </row>
    <row r="24" spans="2:13" x14ac:dyDescent="0.45">
      <c r="B24" s="6">
        <v>19</v>
      </c>
      <c r="C24" s="14" t="s">
        <v>105</v>
      </c>
      <c r="D24" s="19">
        <v>1000</v>
      </c>
      <c r="E24" s="19" t="s">
        <v>8</v>
      </c>
      <c r="F24" s="20">
        <v>79800</v>
      </c>
      <c r="G24" s="21">
        <f t="shared" si="1"/>
        <v>79.8</v>
      </c>
      <c r="H24" s="1"/>
      <c r="I24" s="1"/>
      <c r="M24" s="1"/>
    </row>
    <row r="25" spans="2:13" x14ac:dyDescent="0.45">
      <c r="B25" s="6">
        <v>20</v>
      </c>
      <c r="C25" s="14" t="s">
        <v>107</v>
      </c>
      <c r="D25" s="19">
        <v>1000</v>
      </c>
      <c r="E25" s="19" t="s">
        <v>8</v>
      </c>
      <c r="F25" s="20">
        <v>76000</v>
      </c>
      <c r="G25" s="21">
        <f t="shared" si="1"/>
        <v>76</v>
      </c>
      <c r="H25" s="1"/>
    </row>
    <row r="26" spans="2:13" x14ac:dyDescent="0.45">
      <c r="B26" s="6">
        <v>21</v>
      </c>
      <c r="C26" s="35" t="s">
        <v>108</v>
      </c>
      <c r="D26" s="183">
        <v>200</v>
      </c>
      <c r="E26" s="183" t="s">
        <v>8</v>
      </c>
      <c r="F26" s="37">
        <v>40000</v>
      </c>
      <c r="G26" s="184">
        <f t="shared" si="1"/>
        <v>200</v>
      </c>
      <c r="H26" s="1"/>
      <c r="I26" s="1"/>
      <c r="M26" s="1"/>
    </row>
    <row r="27" spans="2:13" x14ac:dyDescent="0.45">
      <c r="B27" s="6">
        <v>22</v>
      </c>
      <c r="C27" s="14" t="s">
        <v>31</v>
      </c>
      <c r="D27" s="19">
        <v>1</v>
      </c>
      <c r="E27" s="19" t="s">
        <v>28</v>
      </c>
      <c r="F27" s="20">
        <v>270</v>
      </c>
      <c r="G27" s="20">
        <f>F27/D27</f>
        <v>270</v>
      </c>
      <c r="H27" s="1"/>
    </row>
    <row r="28" spans="2:13" x14ac:dyDescent="0.45">
      <c r="B28" s="6">
        <v>23</v>
      </c>
      <c r="C28" s="14" t="s">
        <v>64</v>
      </c>
      <c r="D28" s="19">
        <v>1000</v>
      </c>
      <c r="E28" s="19" t="s">
        <v>8</v>
      </c>
      <c r="F28" s="182">
        <v>18000</v>
      </c>
      <c r="G28" s="182">
        <f>F28/D28</f>
        <v>18</v>
      </c>
      <c r="H28" s="1"/>
    </row>
    <row r="29" spans="2:13" x14ac:dyDescent="0.45">
      <c r="B29" s="6">
        <v>24</v>
      </c>
      <c r="C29" s="14" t="s">
        <v>252</v>
      </c>
      <c r="D29" s="19">
        <v>900</v>
      </c>
      <c r="E29" s="19" t="s">
        <v>8</v>
      </c>
      <c r="F29" s="182">
        <v>41500</v>
      </c>
      <c r="G29" s="182">
        <f>F29/D29</f>
        <v>46.111111111111114</v>
      </c>
      <c r="H29" s="1"/>
    </row>
    <row r="30" spans="2:13" x14ac:dyDescent="0.45">
      <c r="B30" s="6">
        <v>25</v>
      </c>
      <c r="C30" s="185" t="s">
        <v>66</v>
      </c>
      <c r="D30" s="19">
        <v>1000</v>
      </c>
      <c r="E30" s="19" t="s">
        <v>8</v>
      </c>
      <c r="F30" s="20">
        <v>40000</v>
      </c>
      <c r="G30" s="20">
        <f t="shared" ref="G30:G31" si="2">F30/D30</f>
        <v>40</v>
      </c>
      <c r="H30" s="1"/>
    </row>
    <row r="31" spans="2:13" x14ac:dyDescent="0.45">
      <c r="B31" s="6">
        <v>26</v>
      </c>
      <c r="C31" s="185" t="s">
        <v>67</v>
      </c>
      <c r="D31" s="19">
        <v>1000</v>
      </c>
      <c r="E31" s="19" t="s">
        <v>8</v>
      </c>
      <c r="F31" s="20">
        <v>40000</v>
      </c>
      <c r="G31" s="20">
        <f t="shared" si="2"/>
        <v>40</v>
      </c>
      <c r="H31" s="1"/>
    </row>
    <row r="32" spans="2:13" x14ac:dyDescent="0.45">
      <c r="B32" s="6">
        <v>27</v>
      </c>
      <c r="C32" s="185" t="s">
        <v>68</v>
      </c>
      <c r="D32" s="19">
        <v>500</v>
      </c>
      <c r="E32" s="15" t="s">
        <v>8</v>
      </c>
      <c r="F32" s="16">
        <v>35150</v>
      </c>
      <c r="G32" s="20">
        <f>F32/D32</f>
        <v>70.3</v>
      </c>
      <c r="H32" s="1"/>
    </row>
    <row r="33" spans="2:13" x14ac:dyDescent="0.45">
      <c r="B33" s="6">
        <v>28</v>
      </c>
      <c r="C33" s="185" t="s">
        <v>270</v>
      </c>
      <c r="D33" s="19">
        <v>250</v>
      </c>
      <c r="E33" s="15" t="s">
        <v>8</v>
      </c>
      <c r="F33" s="16">
        <v>25000</v>
      </c>
      <c r="G33" s="20">
        <f>F33/D33</f>
        <v>100</v>
      </c>
      <c r="H33" s="1"/>
    </row>
    <row r="34" spans="2:13" x14ac:dyDescent="0.45">
      <c r="B34" s="6">
        <v>29</v>
      </c>
      <c r="C34" s="35" t="s">
        <v>274</v>
      </c>
      <c r="D34" s="19">
        <v>60</v>
      </c>
      <c r="E34" s="19" t="s">
        <v>8</v>
      </c>
      <c r="F34" s="20">
        <v>30000</v>
      </c>
      <c r="G34" s="197">
        <f>F34/D34</f>
        <v>500</v>
      </c>
      <c r="H34" s="1"/>
    </row>
    <row r="35" spans="2:13" x14ac:dyDescent="0.45">
      <c r="B35" s="6">
        <v>30</v>
      </c>
      <c r="C35" s="14" t="s">
        <v>177</v>
      </c>
      <c r="D35" s="19">
        <v>1</v>
      </c>
      <c r="E35" s="19" t="s">
        <v>28</v>
      </c>
      <c r="F35" s="20">
        <v>1800</v>
      </c>
      <c r="G35" s="20">
        <f t="shared" ref="G35" si="3">F35/D35</f>
        <v>1800</v>
      </c>
      <c r="H35" s="1"/>
    </row>
    <row r="36" spans="2:13" x14ac:dyDescent="0.45">
      <c r="B36" s="6">
        <v>31</v>
      </c>
      <c r="C36" s="14" t="s">
        <v>27</v>
      </c>
      <c r="D36" s="19">
        <v>1</v>
      </c>
      <c r="E36" s="19" t="s">
        <v>28</v>
      </c>
      <c r="F36" s="20">
        <v>945</v>
      </c>
      <c r="G36" s="20">
        <f>F36/D36</f>
        <v>945</v>
      </c>
      <c r="H36" s="1"/>
      <c r="M36" s="13"/>
    </row>
    <row r="37" spans="2:13" x14ac:dyDescent="0.45">
      <c r="B37" s="6">
        <v>32</v>
      </c>
      <c r="C37" s="14" t="s">
        <v>29</v>
      </c>
      <c r="D37" s="19">
        <v>1</v>
      </c>
      <c r="E37" s="19" t="s">
        <v>28</v>
      </c>
      <c r="F37" s="20">
        <v>388</v>
      </c>
      <c r="G37" s="20">
        <f>F37/D37</f>
        <v>388</v>
      </c>
      <c r="H37" s="1"/>
      <c r="M37" s="13"/>
    </row>
    <row r="38" spans="2:13" x14ac:dyDescent="0.45">
      <c r="B38" s="6">
        <v>33</v>
      </c>
      <c r="C38" s="14" t="s">
        <v>30</v>
      </c>
      <c r="D38" s="19">
        <v>1</v>
      </c>
      <c r="E38" s="19" t="s">
        <v>28</v>
      </c>
      <c r="F38" s="20">
        <v>810</v>
      </c>
      <c r="G38" s="20">
        <f>F38/D38</f>
        <v>810</v>
      </c>
      <c r="H38" s="1"/>
      <c r="M38" s="13"/>
    </row>
    <row r="39" spans="2:13" x14ac:dyDescent="0.45">
      <c r="B39" s="6">
        <v>34</v>
      </c>
      <c r="C39" s="14" t="s">
        <v>251</v>
      </c>
      <c r="D39" s="19">
        <v>1</v>
      </c>
      <c r="E39" s="19" t="s">
        <v>28</v>
      </c>
      <c r="F39" s="182">
        <v>1100</v>
      </c>
      <c r="G39" s="182">
        <f>F39/D39</f>
        <v>1100</v>
      </c>
      <c r="H39" s="1"/>
      <c r="M39" s="13"/>
    </row>
    <row r="40" spans="2:13" x14ac:dyDescent="0.45">
      <c r="B40" s="6">
        <v>35</v>
      </c>
      <c r="C40" s="14" t="s">
        <v>65</v>
      </c>
      <c r="D40" s="19">
        <v>1</v>
      </c>
      <c r="E40" s="19" t="s">
        <v>23</v>
      </c>
      <c r="F40" s="59">
        <v>2500</v>
      </c>
      <c r="G40" s="59">
        <f>F40/D40</f>
        <v>2500</v>
      </c>
      <c r="H40" s="1"/>
      <c r="I40" s="13"/>
      <c r="J40" s="13"/>
      <c r="K40" s="13"/>
      <c r="L40" s="13"/>
      <c r="M40" s="13"/>
    </row>
    <row r="41" spans="2:13" x14ac:dyDescent="0.4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2:13" x14ac:dyDescent="0.45">
      <c r="B42" s="232" t="s">
        <v>59</v>
      </c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1"/>
    </row>
    <row r="43" spans="2:13" ht="14.65" thickBot="1" x14ac:dyDescent="0.5">
      <c r="B43" s="2" t="s">
        <v>358</v>
      </c>
      <c r="C43" s="1"/>
      <c r="D43" s="1"/>
      <c r="E43" s="1"/>
      <c r="F43" s="1"/>
      <c r="G43" s="1"/>
      <c r="H43" s="22" t="s">
        <v>364</v>
      </c>
      <c r="I43" s="1"/>
      <c r="J43" s="1"/>
      <c r="K43" s="1"/>
      <c r="L43" s="1"/>
      <c r="M43" s="1"/>
    </row>
    <row r="44" spans="2:13" ht="14.65" thickBot="1" x14ac:dyDescent="0.5">
      <c r="B44" s="22" t="s">
        <v>359</v>
      </c>
      <c r="C44" s="1"/>
      <c r="D44" s="1"/>
      <c r="E44" s="1"/>
      <c r="F44" s="1"/>
      <c r="G44" s="1"/>
      <c r="H44" s="23" t="s">
        <v>0</v>
      </c>
      <c r="I44" s="23" t="s">
        <v>33</v>
      </c>
      <c r="J44" s="23" t="s">
        <v>34</v>
      </c>
      <c r="K44" s="23" t="s">
        <v>35</v>
      </c>
      <c r="L44" s="23" t="s">
        <v>36</v>
      </c>
      <c r="M44" s="1"/>
    </row>
    <row r="45" spans="2:13" ht="14.65" thickBot="1" x14ac:dyDescent="0.5">
      <c r="B45" s="23" t="s">
        <v>0</v>
      </c>
      <c r="C45" s="23" t="s">
        <v>33</v>
      </c>
      <c r="D45" s="23" t="s">
        <v>34</v>
      </c>
      <c r="E45" s="23" t="s">
        <v>35</v>
      </c>
      <c r="F45" s="23" t="s">
        <v>36</v>
      </c>
      <c r="G45" s="1"/>
      <c r="H45" s="24">
        <v>1</v>
      </c>
      <c r="I45" s="27" t="s">
        <v>42</v>
      </c>
      <c r="J45" s="24">
        <v>1000</v>
      </c>
      <c r="K45" s="24" t="s">
        <v>8</v>
      </c>
      <c r="L45" s="28">
        <f>J45*$G$9</f>
        <v>19000</v>
      </c>
      <c r="M45" s="1"/>
    </row>
    <row r="46" spans="2:13" x14ac:dyDescent="0.45">
      <c r="B46" s="24">
        <v>1</v>
      </c>
      <c r="C46" s="27" t="s">
        <v>360</v>
      </c>
      <c r="D46" s="24">
        <v>1000</v>
      </c>
      <c r="E46" s="24" t="s">
        <v>8</v>
      </c>
      <c r="F46" s="28">
        <f>D46*$G$6</f>
        <v>34000</v>
      </c>
      <c r="G46" s="1"/>
      <c r="H46" s="1" t="s">
        <v>47</v>
      </c>
      <c r="I46" s="1"/>
      <c r="J46" s="33" t="s">
        <v>39</v>
      </c>
      <c r="K46" s="34"/>
      <c r="L46" s="16">
        <f>SUM(L45:L45)</f>
        <v>19000</v>
      </c>
      <c r="M46" s="1"/>
    </row>
    <row r="47" spans="2:13" x14ac:dyDescent="0.45">
      <c r="B47" s="31">
        <v>2</v>
      </c>
      <c r="C47" s="14" t="s">
        <v>361</v>
      </c>
      <c r="D47" s="25">
        <v>20</v>
      </c>
      <c r="E47" s="25" t="s">
        <v>8</v>
      </c>
      <c r="F47" s="26">
        <f>D47*$G$8</f>
        <v>1406</v>
      </c>
      <c r="G47" s="1"/>
      <c r="H47" s="1"/>
      <c r="I47" s="1"/>
      <c r="J47" s="32" t="s">
        <v>41</v>
      </c>
      <c r="K47" s="32"/>
      <c r="L47" s="14">
        <v>20</v>
      </c>
      <c r="M47" s="1"/>
    </row>
    <row r="48" spans="2:13" x14ac:dyDescent="0.45">
      <c r="B48" s="69"/>
      <c r="C48" s="1"/>
      <c r="D48" s="29" t="s">
        <v>39</v>
      </c>
      <c r="E48" s="30"/>
      <c r="F48" s="16">
        <f>SUM(F46:F47)</f>
        <v>35406</v>
      </c>
      <c r="G48" s="1"/>
      <c r="H48" s="1"/>
      <c r="I48" s="1"/>
      <c r="J48" s="33" t="s">
        <v>43</v>
      </c>
      <c r="K48" s="34"/>
      <c r="L48" s="50">
        <f>L46/L47</f>
        <v>950</v>
      </c>
      <c r="M48" s="1"/>
    </row>
    <row r="49" spans="2:24" x14ac:dyDescent="0.45">
      <c r="B49" s="1"/>
      <c r="C49" s="1"/>
      <c r="D49" s="32" t="s">
        <v>362</v>
      </c>
      <c r="E49" s="32"/>
      <c r="F49" s="14">
        <v>10</v>
      </c>
      <c r="G49" s="1"/>
      <c r="M49" s="1"/>
    </row>
    <row r="50" spans="2:24" ht="14.65" thickBot="1" x14ac:dyDescent="0.5">
      <c r="B50" s="1"/>
      <c r="C50" s="1"/>
      <c r="D50" s="33" t="s">
        <v>43</v>
      </c>
      <c r="E50" s="34"/>
      <c r="F50" s="50">
        <f>F48/F49</f>
        <v>3540.6</v>
      </c>
      <c r="G50" s="1"/>
      <c r="H50" s="22" t="s">
        <v>365</v>
      </c>
      <c r="I50" s="1"/>
      <c r="J50" s="1"/>
      <c r="K50" s="1"/>
      <c r="L50" s="1"/>
      <c r="M50" s="1"/>
    </row>
    <row r="51" spans="2:24" ht="14.65" thickBot="1" x14ac:dyDescent="0.5">
      <c r="G51" s="1"/>
      <c r="H51" s="23" t="s">
        <v>0</v>
      </c>
      <c r="I51" s="23" t="s">
        <v>33</v>
      </c>
      <c r="J51" s="23" t="s">
        <v>34</v>
      </c>
      <c r="K51" s="23" t="s">
        <v>35</v>
      </c>
      <c r="L51" s="23" t="s">
        <v>36</v>
      </c>
      <c r="M51" s="1"/>
    </row>
    <row r="52" spans="2:24" ht="14.65" thickBot="1" x14ac:dyDescent="0.5">
      <c r="B52" s="22" t="s">
        <v>363</v>
      </c>
      <c r="C52" s="1"/>
      <c r="D52" s="1"/>
      <c r="E52" s="1"/>
      <c r="F52" s="1"/>
      <c r="G52" s="1"/>
      <c r="H52" s="24">
        <v>1</v>
      </c>
      <c r="I52" s="27" t="s">
        <v>366</v>
      </c>
      <c r="J52" s="24">
        <v>1</v>
      </c>
      <c r="K52" s="24" t="s">
        <v>6</v>
      </c>
      <c r="L52" s="28">
        <f>J52*F50</f>
        <v>3540.6</v>
      </c>
      <c r="M52" s="1"/>
    </row>
    <row r="53" spans="2:24" ht="14.65" thickBot="1" x14ac:dyDescent="0.5">
      <c r="B53" s="23" t="s">
        <v>0</v>
      </c>
      <c r="C53" s="23" t="s">
        <v>33</v>
      </c>
      <c r="D53" s="23" t="s">
        <v>34</v>
      </c>
      <c r="E53" s="23" t="s">
        <v>35</v>
      </c>
      <c r="F53" s="23" t="s">
        <v>36</v>
      </c>
      <c r="G53" s="1"/>
      <c r="H53" s="24">
        <v>2</v>
      </c>
      <c r="I53" s="27" t="s">
        <v>40</v>
      </c>
      <c r="J53" s="31">
        <v>1</v>
      </c>
      <c r="K53" s="24" t="s">
        <v>6</v>
      </c>
      <c r="L53" s="16">
        <f>J53*F57</f>
        <v>12.631578947368421</v>
      </c>
      <c r="M53" s="1"/>
    </row>
    <row r="54" spans="2:24" x14ac:dyDescent="0.45">
      <c r="B54" s="24">
        <v>1</v>
      </c>
      <c r="C54" s="14" t="s">
        <v>37</v>
      </c>
      <c r="D54" s="25">
        <v>2000</v>
      </c>
      <c r="E54" s="25" t="s">
        <v>10</v>
      </c>
      <c r="F54" s="26">
        <f>D54*$G$14</f>
        <v>631.57894736842104</v>
      </c>
      <c r="G54" s="1"/>
      <c r="H54" s="24">
        <v>3</v>
      </c>
      <c r="I54" s="27" t="s">
        <v>42</v>
      </c>
      <c r="J54" s="31">
        <v>1</v>
      </c>
      <c r="K54" s="24" t="s">
        <v>6</v>
      </c>
      <c r="L54" s="16">
        <f>J54*L48</f>
        <v>950</v>
      </c>
      <c r="M54" s="1"/>
    </row>
    <row r="55" spans="2:24" x14ac:dyDescent="0.45">
      <c r="B55" s="1" t="s">
        <v>38</v>
      </c>
      <c r="C55" s="1"/>
      <c r="D55" s="29" t="s">
        <v>39</v>
      </c>
      <c r="E55" s="30"/>
      <c r="F55" s="16">
        <f>SUM(F54:F54)</f>
        <v>631.57894736842104</v>
      </c>
      <c r="G55" s="1"/>
      <c r="H55" s="24">
        <v>4</v>
      </c>
      <c r="I55" s="27" t="s">
        <v>44</v>
      </c>
      <c r="J55" s="31">
        <v>1</v>
      </c>
      <c r="K55" s="31" t="s">
        <v>45</v>
      </c>
      <c r="L55" s="16">
        <f>J55*$G$11</f>
        <v>110</v>
      </c>
      <c r="M55" s="1"/>
      <c r="T55" s="1"/>
      <c r="U55" s="1"/>
      <c r="V55" s="46"/>
      <c r="W55" s="46"/>
      <c r="X55" s="208"/>
    </row>
    <row r="56" spans="2:24" x14ac:dyDescent="0.45">
      <c r="B56" s="1"/>
      <c r="C56" s="1"/>
      <c r="D56" s="32" t="s">
        <v>41</v>
      </c>
      <c r="E56" s="32"/>
      <c r="F56" s="14">
        <v>50</v>
      </c>
      <c r="G56" s="1"/>
      <c r="H56" s="24">
        <v>5</v>
      </c>
      <c r="I56" s="14" t="s">
        <v>46</v>
      </c>
      <c r="J56" s="25">
        <v>15</v>
      </c>
      <c r="K56" s="25" t="s">
        <v>10</v>
      </c>
      <c r="L56" s="26">
        <f>J56*$G$10</f>
        <v>262.5</v>
      </c>
      <c r="M56" s="1"/>
      <c r="T56" s="1"/>
      <c r="U56" s="1"/>
      <c r="V56" s="46"/>
      <c r="W56" s="46"/>
      <c r="X56" s="208"/>
    </row>
    <row r="57" spans="2:24" x14ac:dyDescent="0.45">
      <c r="B57" s="1"/>
      <c r="C57" s="1"/>
      <c r="D57" s="33" t="s">
        <v>43</v>
      </c>
      <c r="E57" s="34"/>
      <c r="F57" s="50">
        <f>F55/F56</f>
        <v>12.631578947368421</v>
      </c>
      <c r="G57" s="1"/>
      <c r="H57" s="1"/>
      <c r="I57" s="1"/>
      <c r="J57" s="230" t="s">
        <v>39</v>
      </c>
      <c r="K57" s="231"/>
      <c r="L57" s="50">
        <f>SUM(L52:L56)</f>
        <v>4875.7315789473687</v>
      </c>
      <c r="M57" s="1"/>
    </row>
    <row r="58" spans="2:24" x14ac:dyDescent="0.45">
      <c r="B58" s="1"/>
      <c r="C58" s="1"/>
      <c r="D58" s="46"/>
      <c r="E58" s="46"/>
      <c r="F58" s="208"/>
      <c r="G58" s="1"/>
      <c r="H58" s="1"/>
      <c r="I58" s="1"/>
      <c r="J58" s="1"/>
      <c r="K58" s="1"/>
      <c r="L58" s="1"/>
      <c r="M58" s="1"/>
    </row>
    <row r="59" spans="2:24" x14ac:dyDescent="0.45">
      <c r="B59" s="233" t="s">
        <v>60</v>
      </c>
      <c r="C59" s="233"/>
      <c r="D59" s="233"/>
      <c r="E59" s="233"/>
      <c r="F59" s="233"/>
      <c r="G59" s="233"/>
      <c r="H59" s="233"/>
      <c r="I59" s="233"/>
      <c r="J59" s="233"/>
      <c r="K59" s="233"/>
      <c r="L59" s="233"/>
      <c r="M59" s="1"/>
    </row>
    <row r="60" spans="2:24" ht="14.65" thickBot="1" x14ac:dyDescent="0.5">
      <c r="B60" s="2" t="s">
        <v>169</v>
      </c>
      <c r="C60" s="1"/>
      <c r="D60" s="1"/>
      <c r="E60" s="1"/>
      <c r="F60" s="1"/>
      <c r="G60" s="1"/>
      <c r="H60" s="22" t="s">
        <v>364</v>
      </c>
      <c r="I60" s="1"/>
      <c r="J60" s="1"/>
      <c r="K60" s="1"/>
      <c r="L60" s="1"/>
      <c r="M60" s="1"/>
    </row>
    <row r="61" spans="2:24" ht="14.65" thickBot="1" x14ac:dyDescent="0.5">
      <c r="B61" s="22" t="s">
        <v>367</v>
      </c>
      <c r="C61" s="1"/>
      <c r="D61" s="1"/>
      <c r="E61" s="1"/>
      <c r="F61" s="1"/>
      <c r="G61" s="1"/>
      <c r="H61" s="51" t="s">
        <v>0</v>
      </c>
      <c r="I61" s="51" t="s">
        <v>33</v>
      </c>
      <c r="J61" s="51" t="s">
        <v>34</v>
      </c>
      <c r="K61" s="51" t="s">
        <v>35</v>
      </c>
      <c r="L61" s="51" t="s">
        <v>36</v>
      </c>
      <c r="M61" s="1"/>
    </row>
    <row r="62" spans="2:24" ht="14.65" thickBot="1" x14ac:dyDescent="0.5">
      <c r="B62" s="51" t="s">
        <v>0</v>
      </c>
      <c r="C62" s="51" t="s">
        <v>33</v>
      </c>
      <c r="D62" s="51" t="s">
        <v>34</v>
      </c>
      <c r="E62" s="51" t="s">
        <v>35</v>
      </c>
      <c r="F62" s="51" t="s">
        <v>36</v>
      </c>
      <c r="G62" s="1"/>
      <c r="H62" s="24">
        <v>1</v>
      </c>
      <c r="I62" s="27" t="s">
        <v>42</v>
      </c>
      <c r="J62" s="24">
        <v>270</v>
      </c>
      <c r="K62" s="24" t="s">
        <v>8</v>
      </c>
      <c r="L62" s="28">
        <f>J62*$G$9</f>
        <v>5130</v>
      </c>
      <c r="M62" s="1"/>
    </row>
    <row r="63" spans="2:24" x14ac:dyDescent="0.45">
      <c r="B63" s="24">
        <v>1</v>
      </c>
      <c r="C63" s="27" t="s">
        <v>368</v>
      </c>
      <c r="D63" s="24">
        <v>1</v>
      </c>
      <c r="E63" s="24" t="s">
        <v>61</v>
      </c>
      <c r="F63" s="28">
        <f>D63*G7</f>
        <v>26000</v>
      </c>
      <c r="G63" s="1"/>
      <c r="H63" s="1" t="s">
        <v>62</v>
      </c>
      <c r="I63" s="1"/>
      <c r="J63" s="33" t="s">
        <v>43</v>
      </c>
      <c r="K63" s="34"/>
      <c r="L63" s="52">
        <f>SUM(L62)</f>
        <v>5130</v>
      </c>
      <c r="M63" s="1"/>
    </row>
    <row r="64" spans="2:24" x14ac:dyDescent="0.45">
      <c r="B64" s="31">
        <v>2</v>
      </c>
      <c r="C64" s="14" t="s">
        <v>361</v>
      </c>
      <c r="D64" s="25">
        <v>20</v>
      </c>
      <c r="E64" s="25" t="s">
        <v>8</v>
      </c>
      <c r="F64" s="26">
        <f>D64*$G$9</f>
        <v>380</v>
      </c>
      <c r="G64" s="1"/>
      <c r="M64" s="1"/>
    </row>
    <row r="65" spans="2:13" ht="14.65" thickBot="1" x14ac:dyDescent="0.5">
      <c r="B65" s="69"/>
      <c r="C65" s="1"/>
      <c r="D65" s="29" t="s">
        <v>241</v>
      </c>
      <c r="E65" s="30"/>
      <c r="F65" s="52">
        <f>SUM(F63:F64)</f>
        <v>26380</v>
      </c>
      <c r="G65" s="1"/>
      <c r="H65" s="22" t="s">
        <v>32</v>
      </c>
      <c r="I65" s="1"/>
      <c r="J65" s="1"/>
      <c r="K65" s="1"/>
      <c r="L65" s="1"/>
      <c r="M65" s="1"/>
    </row>
    <row r="66" spans="2:13" ht="14.65" thickBot="1" x14ac:dyDescent="0.5">
      <c r="G66" s="1"/>
      <c r="H66" s="51" t="s">
        <v>0</v>
      </c>
      <c r="I66" s="51" t="s">
        <v>33</v>
      </c>
      <c r="J66" s="51" t="s">
        <v>34</v>
      </c>
      <c r="K66" s="51" t="s">
        <v>35</v>
      </c>
      <c r="L66" s="51" t="s">
        <v>36</v>
      </c>
      <c r="M66" s="1"/>
    </row>
    <row r="67" spans="2:13" ht="14.65" thickBot="1" x14ac:dyDescent="0.5">
      <c r="B67" s="22" t="s">
        <v>363</v>
      </c>
      <c r="C67" s="1"/>
      <c r="D67" s="1"/>
      <c r="E67" s="1"/>
      <c r="F67" s="1"/>
      <c r="G67" s="1"/>
      <c r="H67" s="24">
        <v>1</v>
      </c>
      <c r="I67" s="27" t="s">
        <v>63</v>
      </c>
      <c r="J67" s="24">
        <v>1</v>
      </c>
      <c r="K67" s="24" t="s">
        <v>6</v>
      </c>
      <c r="L67" s="28">
        <f>J67*F65</f>
        <v>26380</v>
      </c>
      <c r="M67" s="1"/>
    </row>
    <row r="68" spans="2:13" ht="14.65" thickBot="1" x14ac:dyDescent="0.5">
      <c r="B68" s="51" t="s">
        <v>0</v>
      </c>
      <c r="C68" s="51" t="s">
        <v>33</v>
      </c>
      <c r="D68" s="51" t="s">
        <v>34</v>
      </c>
      <c r="E68" s="51" t="s">
        <v>35</v>
      </c>
      <c r="F68" s="51" t="s">
        <v>36</v>
      </c>
      <c r="G68" s="1"/>
      <c r="H68" s="24">
        <v>2</v>
      </c>
      <c r="I68" s="27" t="s">
        <v>40</v>
      </c>
      <c r="J68" s="31">
        <v>1</v>
      </c>
      <c r="K68" s="24" t="s">
        <v>6</v>
      </c>
      <c r="L68" s="16">
        <f>J68*F72</f>
        <v>31.578947368421051</v>
      </c>
      <c r="M68" s="1"/>
    </row>
    <row r="69" spans="2:13" x14ac:dyDescent="0.45">
      <c r="B69" s="24">
        <v>1</v>
      </c>
      <c r="C69" s="14" t="s">
        <v>37</v>
      </c>
      <c r="D69" s="25">
        <v>2000</v>
      </c>
      <c r="E69" s="25" t="s">
        <v>10</v>
      </c>
      <c r="F69" s="26">
        <f>D69*$G$14</f>
        <v>631.57894736842104</v>
      </c>
      <c r="G69" s="1"/>
      <c r="H69" s="24">
        <v>3</v>
      </c>
      <c r="I69" s="27" t="s">
        <v>42</v>
      </c>
      <c r="J69" s="31">
        <v>1</v>
      </c>
      <c r="K69" s="24" t="s">
        <v>6</v>
      </c>
      <c r="L69" s="16">
        <f>J69*L63</f>
        <v>5130</v>
      </c>
      <c r="M69" s="1"/>
    </row>
    <row r="70" spans="2:13" x14ac:dyDescent="0.45">
      <c r="B70" s="1" t="s">
        <v>38</v>
      </c>
      <c r="C70" s="1"/>
      <c r="D70" s="29" t="s">
        <v>39</v>
      </c>
      <c r="E70" s="30"/>
      <c r="F70" s="16">
        <f>SUM(F69:F69)</f>
        <v>631.57894736842104</v>
      </c>
      <c r="G70" s="1"/>
      <c r="H70" s="24">
        <v>4</v>
      </c>
      <c r="I70" s="27" t="s">
        <v>44</v>
      </c>
      <c r="J70" s="31">
        <v>1</v>
      </c>
      <c r="K70" s="31" t="s">
        <v>45</v>
      </c>
      <c r="L70" s="16">
        <f>J70*$G$11</f>
        <v>110</v>
      </c>
      <c r="M70" s="1"/>
    </row>
    <row r="71" spans="2:13" x14ac:dyDescent="0.45">
      <c r="B71" s="1"/>
      <c r="C71" s="1"/>
      <c r="D71" s="32" t="s">
        <v>41</v>
      </c>
      <c r="E71" s="32"/>
      <c r="F71" s="14">
        <v>20</v>
      </c>
      <c r="G71" s="1"/>
      <c r="H71" s="24">
        <v>5</v>
      </c>
      <c r="I71" s="14" t="s">
        <v>46</v>
      </c>
      <c r="J71" s="25">
        <v>50</v>
      </c>
      <c r="K71" s="25" t="s">
        <v>10</v>
      </c>
      <c r="L71" s="26">
        <f>J71*$G$10</f>
        <v>875</v>
      </c>
      <c r="M71" s="1"/>
    </row>
    <row r="72" spans="2:13" x14ac:dyDescent="0.45">
      <c r="B72" s="1"/>
      <c r="C72" s="1"/>
      <c r="D72" s="33" t="s">
        <v>43</v>
      </c>
      <c r="E72" s="34"/>
      <c r="F72" s="52">
        <f>F70/F71</f>
        <v>31.578947368421051</v>
      </c>
      <c r="G72" s="1"/>
      <c r="H72" s="1"/>
      <c r="I72" s="1"/>
      <c r="J72" s="230" t="s">
        <v>39</v>
      </c>
      <c r="K72" s="231"/>
      <c r="L72" s="52">
        <f>SUM(L67:L71)</f>
        <v>32526.57894736842</v>
      </c>
      <c r="M72" s="1"/>
    </row>
    <row r="73" spans="2:13" x14ac:dyDescent="0.4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2:13" x14ac:dyDescent="0.45">
      <c r="B74" s="228" t="s">
        <v>84</v>
      </c>
      <c r="C74" s="228"/>
      <c r="D74" s="228"/>
      <c r="E74" s="228"/>
      <c r="F74" s="228"/>
      <c r="G74" s="228"/>
      <c r="H74" s="228"/>
      <c r="I74" s="228"/>
      <c r="J74" s="228"/>
      <c r="K74" s="228"/>
      <c r="L74" s="228"/>
      <c r="M74" s="1"/>
    </row>
    <row r="75" spans="2:13" ht="14.65" thickBot="1" x14ac:dyDescent="0.5">
      <c r="B75" s="2" t="s">
        <v>70</v>
      </c>
      <c r="C75" s="1"/>
      <c r="D75" s="1"/>
      <c r="E75" s="1"/>
      <c r="F75" s="1"/>
      <c r="G75" s="1"/>
      <c r="H75" s="2" t="s">
        <v>71</v>
      </c>
      <c r="I75" s="1"/>
      <c r="J75" s="1"/>
      <c r="K75" s="1"/>
      <c r="L75" s="1"/>
      <c r="M75" s="1"/>
    </row>
    <row r="76" spans="2:13" ht="14.65" thickBot="1" x14ac:dyDescent="0.5">
      <c r="B76" s="88" t="s">
        <v>0</v>
      </c>
      <c r="C76" s="88" t="s">
        <v>1</v>
      </c>
      <c r="D76" s="88" t="s">
        <v>2</v>
      </c>
      <c r="E76" s="88" t="s">
        <v>3</v>
      </c>
      <c r="F76" s="88" t="s">
        <v>4</v>
      </c>
      <c r="G76" s="1"/>
      <c r="H76" s="60" t="s">
        <v>72</v>
      </c>
      <c r="I76" s="61"/>
      <c r="J76" s="61"/>
      <c r="K76" s="61"/>
      <c r="L76" s="61"/>
      <c r="M76" s="1"/>
    </row>
    <row r="77" spans="2:13" ht="14.65" thickBot="1" x14ac:dyDescent="0.5">
      <c r="B77" s="38">
        <v>1</v>
      </c>
      <c r="C77" s="39" t="s">
        <v>73</v>
      </c>
      <c r="D77" s="62">
        <v>1000</v>
      </c>
      <c r="E77" s="62" t="s">
        <v>8</v>
      </c>
      <c r="F77" s="63">
        <f>D77*$G$28</f>
        <v>18000</v>
      </c>
      <c r="G77" s="1"/>
      <c r="H77" s="88" t="s">
        <v>0</v>
      </c>
      <c r="I77" s="88" t="s">
        <v>1</v>
      </c>
      <c r="J77" s="88" t="s">
        <v>2</v>
      </c>
      <c r="K77" s="88" t="s">
        <v>3</v>
      </c>
      <c r="L77" s="88" t="s">
        <v>4</v>
      </c>
      <c r="M77" s="1"/>
    </row>
    <row r="78" spans="2:13" x14ac:dyDescent="0.45">
      <c r="B78" s="19">
        <v>2</v>
      </c>
      <c r="C78" s="7" t="s">
        <v>74</v>
      </c>
      <c r="D78" s="64">
        <v>750</v>
      </c>
      <c r="E78" s="6" t="s">
        <v>8</v>
      </c>
      <c r="F78" s="8">
        <f>D78*$G$9</f>
        <v>14250</v>
      </c>
      <c r="G78" s="1"/>
      <c r="H78" s="62">
        <v>1</v>
      </c>
      <c r="I78" s="65" t="s">
        <v>75</v>
      </c>
      <c r="J78" s="62">
        <v>100</v>
      </c>
      <c r="K78" s="6" t="s">
        <v>8</v>
      </c>
      <c r="L78" s="63">
        <f>J78*$F$82</f>
        <v>3455.2845528455287</v>
      </c>
      <c r="M78" s="1"/>
    </row>
    <row r="79" spans="2:13" x14ac:dyDescent="0.45">
      <c r="B79" s="15">
        <v>3</v>
      </c>
      <c r="C79" s="14" t="s">
        <v>46</v>
      </c>
      <c r="D79" s="66">
        <v>100</v>
      </c>
      <c r="E79" s="11" t="s">
        <v>10</v>
      </c>
      <c r="F79" s="67">
        <f>D79*$G$10</f>
        <v>1750</v>
      </c>
      <c r="G79" s="1"/>
      <c r="H79" s="62">
        <v>2</v>
      </c>
      <c r="I79" s="7" t="s">
        <v>76</v>
      </c>
      <c r="J79" s="6">
        <v>1</v>
      </c>
      <c r="K79" s="6" t="s">
        <v>15</v>
      </c>
      <c r="L79" s="68">
        <f>J79*$F$90</f>
        <v>197.89473684210526</v>
      </c>
      <c r="M79" s="1"/>
    </row>
    <row r="80" spans="2:13" x14ac:dyDescent="0.45">
      <c r="B80" s="69"/>
      <c r="C80" s="1"/>
      <c r="D80" s="70" t="s">
        <v>39</v>
      </c>
      <c r="E80" s="71"/>
      <c r="F80" s="72">
        <f>SUM(F77:F79)</f>
        <v>34000</v>
      </c>
      <c r="G80" s="1"/>
      <c r="H80" s="62">
        <v>3</v>
      </c>
      <c r="I80" s="7" t="s">
        <v>77</v>
      </c>
      <c r="J80" s="31">
        <v>1</v>
      </c>
      <c r="K80" s="31" t="s">
        <v>45</v>
      </c>
      <c r="L80" s="16">
        <f>J80*$G$11</f>
        <v>110</v>
      </c>
      <c r="M80" s="1"/>
    </row>
    <row r="81" spans="2:19" x14ac:dyDescent="0.45">
      <c r="B81" s="1"/>
      <c r="C81" s="1"/>
      <c r="D81" s="73" t="s">
        <v>78</v>
      </c>
      <c r="E81" s="44"/>
      <c r="F81" s="74">
        <v>984</v>
      </c>
      <c r="G81" s="1"/>
      <c r="H81" s="61"/>
      <c r="I81" s="61"/>
      <c r="J81" s="75" t="s">
        <v>53</v>
      </c>
      <c r="K81" s="76"/>
      <c r="L81" s="77">
        <f>SUM(L78:L80)</f>
        <v>3763.1792896876341</v>
      </c>
      <c r="M81" s="1"/>
    </row>
    <row r="82" spans="2:19" x14ac:dyDescent="0.45">
      <c r="B82" s="78"/>
      <c r="C82" s="78"/>
      <c r="D82" s="213" t="s">
        <v>79</v>
      </c>
      <c r="E82" s="214"/>
      <c r="F82" s="79">
        <f>F80/F81</f>
        <v>34.552845528455286</v>
      </c>
      <c r="G82" s="1"/>
      <c r="H82" s="1"/>
      <c r="I82" s="1"/>
      <c r="J82" s="1"/>
      <c r="K82" s="1"/>
      <c r="L82" s="1"/>
      <c r="M82" s="1"/>
    </row>
    <row r="83" spans="2:19" x14ac:dyDescent="0.45">
      <c r="B83" s="78"/>
      <c r="C83" s="78"/>
      <c r="D83" s="80"/>
      <c r="E83" s="80"/>
      <c r="F83" s="81"/>
      <c r="G83" s="1"/>
      <c r="H83" s="2" t="s">
        <v>80</v>
      </c>
      <c r="I83" s="1"/>
      <c r="J83" s="1"/>
      <c r="K83" s="1"/>
      <c r="L83" s="1"/>
      <c r="M83" s="1"/>
    </row>
    <row r="84" spans="2:19" ht="14.65" thickBot="1" x14ac:dyDescent="0.5">
      <c r="B84" s="60" t="s">
        <v>81</v>
      </c>
      <c r="C84" s="61"/>
      <c r="D84" s="82"/>
      <c r="E84" s="82"/>
      <c r="F84" s="83"/>
      <c r="G84" s="1"/>
      <c r="H84" s="60" t="s">
        <v>72</v>
      </c>
      <c r="I84" s="61"/>
      <c r="J84" s="61"/>
      <c r="K84" s="61"/>
      <c r="L84" s="61"/>
      <c r="M84" s="1"/>
    </row>
    <row r="85" spans="2:19" ht="14.65" thickBot="1" x14ac:dyDescent="0.5">
      <c r="B85" s="88" t="s">
        <v>0</v>
      </c>
      <c r="C85" s="88" t="s">
        <v>1</v>
      </c>
      <c r="D85" s="88" t="s">
        <v>2</v>
      </c>
      <c r="E85" s="88" t="s">
        <v>3</v>
      </c>
      <c r="F85" s="88" t="s">
        <v>4</v>
      </c>
      <c r="G85" s="1"/>
      <c r="H85" s="88" t="s">
        <v>0</v>
      </c>
      <c r="I85" s="88" t="s">
        <v>1</v>
      </c>
      <c r="J85" s="88" t="s">
        <v>2</v>
      </c>
      <c r="K85" s="88" t="s">
        <v>3</v>
      </c>
      <c r="L85" s="88" t="s">
        <v>4</v>
      </c>
      <c r="M85" s="1"/>
    </row>
    <row r="86" spans="2:19" x14ac:dyDescent="0.45">
      <c r="B86" s="62">
        <v>1</v>
      </c>
      <c r="C86" s="65" t="s">
        <v>52</v>
      </c>
      <c r="D86" s="62">
        <v>500</v>
      </c>
      <c r="E86" s="62" t="s">
        <v>10</v>
      </c>
      <c r="F86" s="63">
        <f>D86*G14</f>
        <v>157.89473684210526</v>
      </c>
      <c r="G86" s="1"/>
      <c r="H86" s="62">
        <v>1</v>
      </c>
      <c r="I86" s="65" t="s">
        <v>75</v>
      </c>
      <c r="J86" s="62">
        <v>200</v>
      </c>
      <c r="K86" s="6" t="s">
        <v>8</v>
      </c>
      <c r="L86" s="63">
        <f>J86*$F$82</f>
        <v>6910.5691056910573</v>
      </c>
      <c r="M86" s="1"/>
    </row>
    <row r="87" spans="2:19" x14ac:dyDescent="0.45">
      <c r="B87" s="6">
        <v>2</v>
      </c>
      <c r="C87" s="7" t="s">
        <v>74</v>
      </c>
      <c r="D87" s="6">
        <v>200</v>
      </c>
      <c r="E87" s="6" t="s">
        <v>8</v>
      </c>
      <c r="F87" s="8">
        <f>D87*G9</f>
        <v>3800</v>
      </c>
      <c r="G87" s="1"/>
      <c r="H87" s="62">
        <v>2</v>
      </c>
      <c r="I87" s="7" t="s">
        <v>76</v>
      </c>
      <c r="J87" s="6">
        <v>1</v>
      </c>
      <c r="K87" s="6" t="s">
        <v>15</v>
      </c>
      <c r="L87" s="68">
        <f>J87*$F$90</f>
        <v>197.89473684210526</v>
      </c>
      <c r="M87" s="1"/>
    </row>
    <row r="88" spans="2:19" x14ac:dyDescent="0.45">
      <c r="B88" s="84"/>
      <c r="C88" s="61"/>
      <c r="D88" s="219" t="s">
        <v>53</v>
      </c>
      <c r="E88" s="220"/>
      <c r="F88" s="85">
        <f>SUM(F84:F87)</f>
        <v>3957.8947368421054</v>
      </c>
      <c r="G88" s="1"/>
      <c r="H88" s="62">
        <v>3</v>
      </c>
      <c r="I88" s="7" t="s">
        <v>77</v>
      </c>
      <c r="J88" s="31">
        <v>1</v>
      </c>
      <c r="K88" s="31" t="s">
        <v>45</v>
      </c>
      <c r="L88" s="16">
        <f>J88*$G$11</f>
        <v>110</v>
      </c>
      <c r="M88" s="1"/>
    </row>
    <row r="89" spans="2:19" x14ac:dyDescent="0.45">
      <c r="B89" s="86"/>
      <c r="C89" s="61"/>
      <c r="D89" s="221" t="s">
        <v>82</v>
      </c>
      <c r="E89" s="222"/>
      <c r="F89" s="87">
        <v>20</v>
      </c>
      <c r="G89" s="1"/>
      <c r="H89" s="61"/>
      <c r="I89" s="61"/>
      <c r="J89" s="75" t="s">
        <v>53</v>
      </c>
      <c r="K89" s="76"/>
      <c r="L89" s="77">
        <f>SUM(L86:L88)</f>
        <v>7218.4638425331623</v>
      </c>
      <c r="M89" s="1"/>
    </row>
    <row r="90" spans="2:19" x14ac:dyDescent="0.45">
      <c r="B90" s="61"/>
      <c r="C90" s="61"/>
      <c r="D90" s="223" t="s">
        <v>83</v>
      </c>
      <c r="E90" s="224"/>
      <c r="F90" s="77">
        <f>F88/F89</f>
        <v>197.89473684210526</v>
      </c>
      <c r="G90" s="1"/>
      <c r="H90" s="1"/>
      <c r="I90" s="1"/>
      <c r="J90" s="1"/>
      <c r="K90" s="1"/>
      <c r="L90" s="1"/>
      <c r="M90" s="1"/>
    </row>
    <row r="91" spans="2:19" x14ac:dyDescent="0.4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2:19" x14ac:dyDescent="0.45">
      <c r="B92" s="225" t="s">
        <v>265</v>
      </c>
      <c r="C92" s="225"/>
      <c r="D92" s="225"/>
      <c r="E92" s="225"/>
      <c r="F92" s="225"/>
      <c r="G92" s="225"/>
      <c r="H92" s="225"/>
      <c r="I92" s="225"/>
      <c r="J92" s="225"/>
      <c r="K92" s="225"/>
      <c r="L92" s="225"/>
      <c r="M92" s="1"/>
    </row>
    <row r="93" spans="2:19" ht="14.65" thickBot="1" x14ac:dyDescent="0.5">
      <c r="B93" s="2" t="s">
        <v>264</v>
      </c>
      <c r="C93" s="1"/>
      <c r="D93" s="1"/>
      <c r="E93" s="1"/>
      <c r="F93" s="1"/>
      <c r="G93" s="1"/>
      <c r="H93" s="2" t="s">
        <v>267</v>
      </c>
      <c r="I93" s="1"/>
      <c r="J93" s="1"/>
      <c r="K93" s="1"/>
      <c r="L93" s="1"/>
      <c r="M93" s="1"/>
      <c r="O93" s="13"/>
      <c r="P93" s="1"/>
      <c r="Q93" s="13"/>
      <c r="R93" s="13"/>
      <c r="S93" s="195"/>
    </row>
    <row r="94" spans="2:19" ht="14.65" thickBot="1" x14ac:dyDescent="0.5">
      <c r="B94" s="186" t="s">
        <v>0</v>
      </c>
      <c r="C94" s="186" t="s">
        <v>1</v>
      </c>
      <c r="D94" s="186" t="s">
        <v>2</v>
      </c>
      <c r="E94" s="186" t="s">
        <v>3</v>
      </c>
      <c r="F94" s="186" t="s">
        <v>4</v>
      </c>
      <c r="G94" s="1"/>
      <c r="H94" s="186" t="s">
        <v>0</v>
      </c>
      <c r="I94" s="186" t="s">
        <v>1</v>
      </c>
      <c r="J94" s="186" t="s">
        <v>2</v>
      </c>
      <c r="K94" s="186" t="s">
        <v>3</v>
      </c>
      <c r="L94" s="186" t="s">
        <v>4</v>
      </c>
      <c r="M94" s="1"/>
      <c r="O94" s="13"/>
      <c r="P94" s="1"/>
      <c r="Q94" s="69"/>
      <c r="R94" s="69"/>
      <c r="S94" s="132"/>
    </row>
    <row r="95" spans="2:19" x14ac:dyDescent="0.45">
      <c r="B95" s="62">
        <v>1</v>
      </c>
      <c r="C95" s="65" t="s">
        <v>252</v>
      </c>
      <c r="D95" s="62">
        <v>500</v>
      </c>
      <c r="E95" s="6" t="s">
        <v>8</v>
      </c>
      <c r="F95" s="63">
        <f>D95*G29</f>
        <v>23055.555555555558</v>
      </c>
      <c r="G95" s="1"/>
      <c r="H95" s="62">
        <v>1</v>
      </c>
      <c r="I95" s="65" t="s">
        <v>252</v>
      </c>
      <c r="J95" s="62">
        <v>150</v>
      </c>
      <c r="K95" s="6" t="s">
        <v>8</v>
      </c>
      <c r="L95" s="63">
        <f>J95*$F$100</f>
        <v>11489.68512486428</v>
      </c>
      <c r="O95" s="1"/>
      <c r="P95" s="1"/>
      <c r="Q95" s="193"/>
      <c r="R95" s="193"/>
      <c r="S95" s="194"/>
    </row>
    <row r="96" spans="2:19" x14ac:dyDescent="0.45">
      <c r="B96" s="62">
        <v>2</v>
      </c>
      <c r="C96" s="7" t="s">
        <v>46</v>
      </c>
      <c r="D96" s="6">
        <v>20</v>
      </c>
      <c r="E96" s="6" t="s">
        <v>10</v>
      </c>
      <c r="F96" s="68">
        <f>D96*G10</f>
        <v>350</v>
      </c>
      <c r="G96" s="1"/>
      <c r="J96" s="211" t="s">
        <v>53</v>
      </c>
      <c r="K96" s="212"/>
      <c r="L96" s="187">
        <f>SUM(L93:L95)</f>
        <v>11489.68512486428</v>
      </c>
      <c r="M96" s="1"/>
    </row>
    <row r="97" spans="2:13" x14ac:dyDescent="0.45">
      <c r="B97" s="62">
        <v>3</v>
      </c>
      <c r="C97" s="7" t="s">
        <v>77</v>
      </c>
      <c r="D97" s="31">
        <v>1</v>
      </c>
      <c r="E97" s="31" t="s">
        <v>45</v>
      </c>
      <c r="F97" s="16">
        <f>D97*$G$11</f>
        <v>110</v>
      </c>
      <c r="G97" s="1"/>
      <c r="M97" s="1"/>
    </row>
    <row r="98" spans="2:13" ht="14.65" thickBot="1" x14ac:dyDescent="0.5">
      <c r="B98" s="61"/>
      <c r="C98" s="61"/>
      <c r="D98" s="211" t="s">
        <v>53</v>
      </c>
      <c r="E98" s="212"/>
      <c r="F98" s="192">
        <f>SUM(F95:F97)</f>
        <v>23515.555555555558</v>
      </c>
      <c r="G98" s="1"/>
      <c r="H98" s="2" t="s">
        <v>268</v>
      </c>
      <c r="I98" s="1"/>
      <c r="J98" s="1"/>
      <c r="K98" s="1"/>
      <c r="L98" s="1"/>
      <c r="M98" s="1"/>
    </row>
    <row r="99" spans="2:13" ht="14.65" thickBot="1" x14ac:dyDescent="0.5">
      <c r="B99" s="1"/>
      <c r="C99" s="1"/>
      <c r="D99" s="73" t="s">
        <v>78</v>
      </c>
      <c r="E99" s="44"/>
      <c r="F99" s="74">
        <v>307</v>
      </c>
      <c r="G99" s="1"/>
      <c r="H99" s="186" t="s">
        <v>0</v>
      </c>
      <c r="I99" s="186" t="s">
        <v>1</v>
      </c>
      <c r="J99" s="186" t="s">
        <v>2</v>
      </c>
      <c r="K99" s="186" t="s">
        <v>3</v>
      </c>
      <c r="L99" s="186" t="s">
        <v>4</v>
      </c>
      <c r="M99" s="1"/>
    </row>
    <row r="100" spans="2:13" x14ac:dyDescent="0.45">
      <c r="B100" s="1"/>
      <c r="C100" s="1"/>
      <c r="D100" s="213" t="s">
        <v>79</v>
      </c>
      <c r="E100" s="214"/>
      <c r="F100" s="191">
        <f>F98/F99</f>
        <v>76.597900832428536</v>
      </c>
      <c r="G100" s="1"/>
      <c r="H100" s="62">
        <v>1</v>
      </c>
      <c r="I100" s="65" t="s">
        <v>252</v>
      </c>
      <c r="J100" s="62">
        <v>200</v>
      </c>
      <c r="K100" s="6" t="s">
        <v>8</v>
      </c>
      <c r="L100" s="63">
        <f>J100*$F$100</f>
        <v>15319.580166485706</v>
      </c>
      <c r="M100" s="1"/>
    </row>
    <row r="101" spans="2:13" x14ac:dyDescent="0.45">
      <c r="B101" s="61"/>
      <c r="C101" s="61"/>
      <c r="D101" s="193"/>
      <c r="E101" s="193"/>
      <c r="F101" s="194"/>
      <c r="G101" s="1"/>
      <c r="J101" s="211" t="s">
        <v>53</v>
      </c>
      <c r="K101" s="212"/>
      <c r="L101" s="187">
        <f>SUM(L98:L100)</f>
        <v>15319.580166485706</v>
      </c>
      <c r="M101" s="1"/>
    </row>
    <row r="102" spans="2:13" ht="14.65" thickBot="1" x14ac:dyDescent="0.5">
      <c r="B102" s="2" t="s">
        <v>266</v>
      </c>
      <c r="C102" s="1"/>
      <c r="D102" s="1"/>
      <c r="E102" s="1"/>
      <c r="F102" s="1"/>
      <c r="G102" s="1"/>
      <c r="J102" s="193"/>
      <c r="K102" s="193"/>
      <c r="L102" s="194"/>
      <c r="M102" s="1"/>
    </row>
    <row r="103" spans="2:13" ht="14.65" thickBot="1" x14ac:dyDescent="0.5">
      <c r="B103" s="186" t="s">
        <v>0</v>
      </c>
      <c r="C103" s="186" t="s">
        <v>1</v>
      </c>
      <c r="D103" s="186" t="s">
        <v>2</v>
      </c>
      <c r="E103" s="186" t="s">
        <v>3</v>
      </c>
      <c r="F103" s="186" t="s">
        <v>4</v>
      </c>
      <c r="G103" s="1"/>
      <c r="J103" s="193"/>
      <c r="K103" s="193"/>
      <c r="L103" s="194"/>
      <c r="M103" s="1"/>
    </row>
    <row r="104" spans="2:13" x14ac:dyDescent="0.45">
      <c r="B104" s="62">
        <v>1</v>
      </c>
      <c r="C104" s="65" t="s">
        <v>252</v>
      </c>
      <c r="D104" s="62">
        <v>100</v>
      </c>
      <c r="E104" s="6" t="s">
        <v>8</v>
      </c>
      <c r="F104" s="63">
        <f>D104*$F$100</f>
        <v>7659.7900832428531</v>
      </c>
      <c r="G104" s="1"/>
      <c r="J104" s="193"/>
      <c r="K104" s="193"/>
      <c r="L104" s="194"/>
      <c r="M104" s="1"/>
    </row>
    <row r="105" spans="2:13" x14ac:dyDescent="0.45">
      <c r="D105" s="211" t="s">
        <v>53</v>
      </c>
      <c r="E105" s="212"/>
      <c r="F105" s="187">
        <f>SUM(F102:F104)</f>
        <v>7659.7900832428531</v>
      </c>
      <c r="G105" s="1"/>
      <c r="J105" s="193"/>
      <c r="K105" s="193"/>
      <c r="L105" s="194"/>
      <c r="M105" s="1"/>
    </row>
    <row r="106" spans="2:13" x14ac:dyDescent="0.45">
      <c r="B106" s="61"/>
      <c r="C106" s="61"/>
      <c r="D106" s="193"/>
      <c r="E106" s="193"/>
      <c r="F106" s="194"/>
      <c r="G106" s="1"/>
      <c r="J106" s="193"/>
      <c r="K106" s="193"/>
      <c r="L106" s="196"/>
      <c r="M106" s="1"/>
    </row>
    <row r="107" spans="2:13" x14ac:dyDescent="0.45">
      <c r="B107" s="218" t="s">
        <v>98</v>
      </c>
      <c r="C107" s="218"/>
      <c r="D107" s="218"/>
      <c r="E107" s="218"/>
      <c r="F107" s="218"/>
      <c r="G107" s="218"/>
      <c r="H107" s="218"/>
      <c r="I107" s="218"/>
      <c r="J107" s="218"/>
      <c r="K107" s="218"/>
      <c r="L107" s="218"/>
      <c r="M107" s="1"/>
    </row>
    <row r="108" spans="2:13" ht="14.65" thickBot="1" x14ac:dyDescent="0.5">
      <c r="B108" s="2" t="s">
        <v>99</v>
      </c>
      <c r="C108" s="1"/>
      <c r="D108" s="1"/>
      <c r="E108" s="1"/>
      <c r="F108" s="1"/>
      <c r="G108" s="1"/>
      <c r="H108" s="2" t="s">
        <v>56</v>
      </c>
      <c r="I108" s="1"/>
      <c r="J108" s="1"/>
      <c r="K108" s="1"/>
      <c r="L108" s="1"/>
      <c r="M108" s="1"/>
    </row>
    <row r="109" spans="2:13" ht="14.65" thickBot="1" x14ac:dyDescent="0.5">
      <c r="B109" s="53" t="s">
        <v>0</v>
      </c>
      <c r="C109" s="53" t="s">
        <v>49</v>
      </c>
      <c r="D109" s="53" t="s">
        <v>34</v>
      </c>
      <c r="E109" s="53" t="s">
        <v>50</v>
      </c>
      <c r="F109" s="53" t="s">
        <v>36</v>
      </c>
      <c r="G109" s="1"/>
      <c r="H109" s="53" t="s">
        <v>0</v>
      </c>
      <c r="I109" s="53" t="s">
        <v>49</v>
      </c>
      <c r="J109" s="53" t="s">
        <v>34</v>
      </c>
      <c r="K109" s="53" t="s">
        <v>50</v>
      </c>
      <c r="L109" s="53" t="s">
        <v>36</v>
      </c>
      <c r="M109" s="1"/>
    </row>
    <row r="110" spans="2:13" x14ac:dyDescent="0.45">
      <c r="B110" s="38">
        <v>1</v>
      </c>
      <c r="C110" s="35" t="s">
        <v>20</v>
      </c>
      <c r="D110" s="36">
        <v>250</v>
      </c>
      <c r="E110" s="36" t="s">
        <v>8</v>
      </c>
      <c r="F110" s="37">
        <f>D110*G18</f>
        <v>15437.5</v>
      </c>
      <c r="G110" s="1"/>
      <c r="H110" s="38">
        <v>1</v>
      </c>
      <c r="I110" s="39" t="s">
        <v>19</v>
      </c>
      <c r="J110" s="36">
        <v>250</v>
      </c>
      <c r="K110" s="36" t="s">
        <v>8</v>
      </c>
      <c r="L110" s="40">
        <f>J110*G17</f>
        <v>14725</v>
      </c>
      <c r="M110" s="1"/>
    </row>
    <row r="111" spans="2:13" x14ac:dyDescent="0.45">
      <c r="B111" s="19">
        <v>2</v>
      </c>
      <c r="C111" s="14" t="s">
        <v>51</v>
      </c>
      <c r="D111" s="31">
        <v>75</v>
      </c>
      <c r="E111" s="31" t="s">
        <v>10</v>
      </c>
      <c r="F111" s="20">
        <f>D111*$G$14</f>
        <v>23.684210526315788</v>
      </c>
      <c r="G111" s="1"/>
      <c r="H111" s="19">
        <v>2</v>
      </c>
      <c r="I111" s="14" t="s">
        <v>52</v>
      </c>
      <c r="J111" s="41">
        <v>75</v>
      </c>
      <c r="K111" s="31" t="s">
        <v>10</v>
      </c>
      <c r="L111" s="20">
        <f>J111*$G$14</f>
        <v>23.684210526315788</v>
      </c>
      <c r="M111" s="1"/>
    </row>
    <row r="112" spans="2:13" x14ac:dyDescent="0.45">
      <c r="B112" s="42"/>
      <c r="C112" s="43" t="s">
        <v>53</v>
      </c>
      <c r="D112" s="44"/>
      <c r="E112" s="44"/>
      <c r="F112" s="16">
        <f>SUM(F110:F111)</f>
        <v>15461.184210526315</v>
      </c>
      <c r="G112" s="1"/>
      <c r="H112" s="42"/>
      <c r="I112" s="43" t="s">
        <v>53</v>
      </c>
      <c r="J112" s="44"/>
      <c r="K112" s="44"/>
      <c r="L112" s="16">
        <f>SUM(L110:L111)</f>
        <v>14748.684210526315</v>
      </c>
      <c r="M112" s="1"/>
    </row>
    <row r="113" spans="2:13" x14ac:dyDescent="0.45">
      <c r="B113" s="42"/>
      <c r="C113" s="1" t="s">
        <v>54</v>
      </c>
      <c r="D113" s="41">
        <v>330</v>
      </c>
      <c r="E113" s="41" t="s">
        <v>8</v>
      </c>
      <c r="F113" s="45"/>
      <c r="G113" s="1"/>
      <c r="H113" s="42"/>
      <c r="I113" s="1" t="s">
        <v>54</v>
      </c>
      <c r="J113" s="41">
        <v>330</v>
      </c>
      <c r="K113" s="41" t="s">
        <v>8</v>
      </c>
      <c r="L113" s="45"/>
      <c r="M113" s="1"/>
    </row>
    <row r="114" spans="2:13" x14ac:dyDescent="0.45">
      <c r="B114" s="2"/>
      <c r="C114" s="46" t="s">
        <v>55</v>
      </c>
      <c r="D114" s="32"/>
      <c r="E114" s="31" t="s">
        <v>8</v>
      </c>
      <c r="F114" s="55">
        <f>F112/D113</f>
        <v>46.852073365231256</v>
      </c>
      <c r="G114" s="1"/>
      <c r="H114" s="1"/>
      <c r="I114" s="46" t="s">
        <v>55</v>
      </c>
      <c r="J114" s="32"/>
      <c r="K114" s="31" t="s">
        <v>8</v>
      </c>
      <c r="L114" s="55">
        <f>L112/J113</f>
        <v>44.692982456140349</v>
      </c>
      <c r="M114" s="1"/>
    </row>
    <row r="115" spans="2:13" x14ac:dyDescent="0.45">
      <c r="B115" s="1"/>
      <c r="C115" s="1"/>
      <c r="D115" s="1"/>
      <c r="E115" s="1"/>
      <c r="F115" s="1"/>
      <c r="G115" s="1"/>
      <c r="H115" s="2"/>
      <c r="I115" s="1"/>
      <c r="J115" s="1"/>
      <c r="K115" s="1"/>
      <c r="L115" s="1"/>
      <c r="M115" s="1"/>
    </row>
    <row r="116" spans="2:13" ht="14.65" thickBot="1" x14ac:dyDescent="0.5">
      <c r="B116" s="1"/>
      <c r="C116" s="1"/>
      <c r="D116" s="1"/>
      <c r="E116" s="1"/>
      <c r="F116" s="1"/>
      <c r="G116" s="1"/>
      <c r="H116" s="2" t="s">
        <v>58</v>
      </c>
      <c r="I116" s="1"/>
      <c r="J116" s="1"/>
      <c r="K116" s="1"/>
      <c r="L116" s="1"/>
      <c r="M116" s="1"/>
    </row>
    <row r="117" spans="2:13" ht="14.65" thickBot="1" x14ac:dyDescent="0.5">
      <c r="B117" s="2" t="s">
        <v>100</v>
      </c>
      <c r="C117" s="1"/>
      <c r="D117" s="1"/>
      <c r="E117" s="1"/>
      <c r="F117" s="1"/>
      <c r="G117" s="1"/>
      <c r="H117" s="53" t="s">
        <v>0</v>
      </c>
      <c r="I117" s="53" t="s">
        <v>49</v>
      </c>
      <c r="J117" s="53" t="s">
        <v>34</v>
      </c>
      <c r="K117" s="53" t="s">
        <v>50</v>
      </c>
      <c r="L117" s="53" t="s">
        <v>36</v>
      </c>
      <c r="M117" s="1"/>
    </row>
    <row r="118" spans="2:13" ht="14.65" thickBot="1" x14ac:dyDescent="0.5">
      <c r="B118" s="53" t="s">
        <v>0</v>
      </c>
      <c r="C118" s="53" t="s">
        <v>49</v>
      </c>
      <c r="D118" s="53" t="s">
        <v>34</v>
      </c>
      <c r="E118" s="53" t="s">
        <v>50</v>
      </c>
      <c r="F118" s="53" t="s">
        <v>36</v>
      </c>
      <c r="G118" s="1"/>
      <c r="H118" s="38">
        <v>1</v>
      </c>
      <c r="I118" s="47" t="s">
        <v>17</v>
      </c>
      <c r="J118" s="31">
        <v>250</v>
      </c>
      <c r="K118" s="31" t="s">
        <v>8</v>
      </c>
      <c r="L118" s="48">
        <f>J118*G15</f>
        <v>13300</v>
      </c>
      <c r="M118" s="1"/>
    </row>
    <row r="119" spans="2:13" x14ac:dyDescent="0.45">
      <c r="B119" s="38">
        <v>1</v>
      </c>
      <c r="C119" s="39" t="s">
        <v>57</v>
      </c>
      <c r="D119" s="36">
        <v>250</v>
      </c>
      <c r="E119" s="36" t="s">
        <v>8</v>
      </c>
      <c r="F119" s="40">
        <f>D119*G16</f>
        <v>15200</v>
      </c>
      <c r="G119" s="1"/>
      <c r="H119" s="19">
        <v>2</v>
      </c>
      <c r="I119" s="49" t="s">
        <v>52</v>
      </c>
      <c r="J119" s="31">
        <v>125</v>
      </c>
      <c r="K119" s="31" t="s">
        <v>10</v>
      </c>
      <c r="L119" s="20">
        <f>J119*$G$14</f>
        <v>39.473684210526315</v>
      </c>
      <c r="M119" s="1"/>
    </row>
    <row r="120" spans="2:13" x14ac:dyDescent="0.45">
      <c r="B120" s="19">
        <v>2</v>
      </c>
      <c r="C120" s="14" t="s">
        <v>52</v>
      </c>
      <c r="D120" s="31">
        <v>75</v>
      </c>
      <c r="E120" s="31" t="s">
        <v>10</v>
      </c>
      <c r="F120" s="20">
        <f>D120*$G$14</f>
        <v>23.684210526315788</v>
      </c>
      <c r="G120" s="1"/>
      <c r="H120" s="42"/>
      <c r="I120" s="43" t="s">
        <v>53</v>
      </c>
      <c r="J120" s="44"/>
      <c r="K120" s="44"/>
      <c r="L120" s="16">
        <f>SUM(L118:L119)</f>
        <v>13339.473684210527</v>
      </c>
      <c r="M120" s="1"/>
    </row>
    <row r="121" spans="2:13" x14ac:dyDescent="0.45">
      <c r="B121" s="42"/>
      <c r="C121" s="43" t="s">
        <v>53</v>
      </c>
      <c r="D121" s="44"/>
      <c r="E121" s="44"/>
      <c r="F121" s="16">
        <f>SUM(F119:F120)</f>
        <v>15223.684210526315</v>
      </c>
      <c r="G121" s="1"/>
      <c r="H121" s="42"/>
      <c r="I121" s="1" t="s">
        <v>54</v>
      </c>
      <c r="J121" s="41">
        <v>370</v>
      </c>
      <c r="K121" s="41" t="s">
        <v>8</v>
      </c>
      <c r="L121" s="45"/>
      <c r="M121" s="1"/>
    </row>
    <row r="122" spans="2:13" x14ac:dyDescent="0.45">
      <c r="B122" s="42"/>
      <c r="C122" s="1" t="s">
        <v>54</v>
      </c>
      <c r="D122" s="41">
        <v>330</v>
      </c>
      <c r="E122" s="41" t="s">
        <v>8</v>
      </c>
      <c r="F122" s="45"/>
      <c r="G122" s="1"/>
      <c r="H122" s="1"/>
      <c r="I122" s="46" t="s">
        <v>55</v>
      </c>
      <c r="J122" s="32"/>
      <c r="K122" s="31" t="s">
        <v>8</v>
      </c>
      <c r="L122" s="55">
        <f>L120/J121</f>
        <v>36.05263157894737</v>
      </c>
      <c r="M122" s="1"/>
    </row>
    <row r="123" spans="2:13" x14ac:dyDescent="0.45">
      <c r="B123" s="1"/>
      <c r="C123" s="46" t="s">
        <v>55</v>
      </c>
      <c r="D123" s="32"/>
      <c r="E123" s="31" t="s">
        <v>8</v>
      </c>
      <c r="F123" s="55">
        <f>F121/D122</f>
        <v>46.132376395534287</v>
      </c>
      <c r="G123" s="1"/>
      <c r="H123" s="1"/>
      <c r="I123" s="1"/>
      <c r="J123" s="1"/>
      <c r="K123" s="1"/>
      <c r="L123" s="1"/>
      <c r="M123" s="1"/>
    </row>
    <row r="124" spans="2:13" ht="14.65" thickBot="1" x14ac:dyDescent="0.5">
      <c r="B124" s="1"/>
      <c r="C124" s="1"/>
      <c r="D124" s="1"/>
      <c r="E124" s="1"/>
      <c r="F124" s="1"/>
      <c r="G124" s="1"/>
      <c r="H124" s="93" t="s">
        <v>94</v>
      </c>
      <c r="I124" s="94"/>
      <c r="J124" s="94"/>
      <c r="K124" s="94"/>
      <c r="L124" s="94"/>
      <c r="M124" s="1"/>
    </row>
    <row r="125" spans="2:13" ht="14.65" thickBot="1" x14ac:dyDescent="0.5">
      <c r="B125" s="2" t="s">
        <v>48</v>
      </c>
      <c r="C125" s="1"/>
      <c r="D125" s="1"/>
      <c r="E125" s="1"/>
      <c r="F125" s="1"/>
      <c r="G125" s="1"/>
      <c r="H125" s="102" t="s">
        <v>0</v>
      </c>
      <c r="I125" s="102" t="s">
        <v>1</v>
      </c>
      <c r="J125" s="102" t="s">
        <v>2</v>
      </c>
      <c r="K125" s="102" t="s">
        <v>3</v>
      </c>
      <c r="L125" s="102" t="s">
        <v>4</v>
      </c>
      <c r="M125" s="1"/>
    </row>
    <row r="126" spans="2:13" ht="14.65" thickBot="1" x14ac:dyDescent="0.5">
      <c r="B126" s="54" t="s">
        <v>0</v>
      </c>
      <c r="C126" s="54" t="s">
        <v>49</v>
      </c>
      <c r="D126" s="54" t="s">
        <v>34</v>
      </c>
      <c r="E126" s="54" t="s">
        <v>50</v>
      </c>
      <c r="F126" s="54" t="s">
        <v>36</v>
      </c>
      <c r="G126" s="1"/>
      <c r="H126" s="95">
        <v>1</v>
      </c>
      <c r="I126" s="56" t="s">
        <v>66</v>
      </c>
      <c r="J126" s="95">
        <v>250</v>
      </c>
      <c r="K126" s="95" t="s">
        <v>8</v>
      </c>
      <c r="L126" s="63">
        <f>J126*G30</f>
        <v>10000</v>
      </c>
      <c r="M126" s="1"/>
    </row>
    <row r="127" spans="2:13" x14ac:dyDescent="0.45">
      <c r="B127" s="38">
        <v>1</v>
      </c>
      <c r="C127" s="39" t="s">
        <v>21</v>
      </c>
      <c r="D127" s="36">
        <v>250</v>
      </c>
      <c r="E127" s="36" t="s">
        <v>8</v>
      </c>
      <c r="F127" s="40">
        <f>D127*G19</f>
        <v>14250</v>
      </c>
      <c r="G127" s="1"/>
      <c r="H127" s="95">
        <v>2</v>
      </c>
      <c r="I127" s="57" t="s">
        <v>67</v>
      </c>
      <c r="J127" s="96">
        <v>250</v>
      </c>
      <c r="K127" s="96" t="s">
        <v>8</v>
      </c>
      <c r="L127" s="68">
        <f>J127*G31</f>
        <v>10000</v>
      </c>
      <c r="M127" s="1"/>
    </row>
    <row r="128" spans="2:13" x14ac:dyDescent="0.45">
      <c r="B128" s="19">
        <v>2</v>
      </c>
      <c r="C128" s="14" t="s">
        <v>52</v>
      </c>
      <c r="D128" s="41">
        <v>75</v>
      </c>
      <c r="E128" s="31" t="s">
        <v>10</v>
      </c>
      <c r="F128" s="20">
        <f>D128*$G$14</f>
        <v>23.684210526315788</v>
      </c>
      <c r="G128" s="1"/>
      <c r="H128" s="95">
        <v>3</v>
      </c>
      <c r="I128" s="57" t="s">
        <v>68</v>
      </c>
      <c r="J128" s="96">
        <v>30</v>
      </c>
      <c r="K128" s="96" t="s">
        <v>8</v>
      </c>
      <c r="L128" s="68">
        <f>J128*G32</f>
        <v>2109</v>
      </c>
      <c r="M128" s="1"/>
    </row>
    <row r="129" spans="2:13" x14ac:dyDescent="0.45">
      <c r="B129" s="42"/>
      <c r="C129" s="43" t="s">
        <v>53</v>
      </c>
      <c r="D129" s="44"/>
      <c r="E129" s="44"/>
      <c r="F129" s="16">
        <f>SUM(F127:F128)</f>
        <v>14273.684210526315</v>
      </c>
      <c r="G129" s="1"/>
      <c r="H129" s="95">
        <v>4</v>
      </c>
      <c r="I129" s="97" t="s">
        <v>89</v>
      </c>
      <c r="J129" s="96">
        <v>400</v>
      </c>
      <c r="K129" s="96" t="s">
        <v>10</v>
      </c>
      <c r="L129" s="68">
        <f>J129*G10</f>
        <v>7000</v>
      </c>
      <c r="M129" s="1"/>
    </row>
    <row r="130" spans="2:13" x14ac:dyDescent="0.45">
      <c r="B130" s="42"/>
      <c r="C130" s="1" t="s">
        <v>54</v>
      </c>
      <c r="D130" s="41">
        <v>330</v>
      </c>
      <c r="E130" s="41" t="s">
        <v>8</v>
      </c>
      <c r="F130" s="45"/>
      <c r="G130" s="1"/>
      <c r="H130" s="95">
        <v>5</v>
      </c>
      <c r="I130" s="97" t="s">
        <v>69</v>
      </c>
      <c r="J130" s="96">
        <v>30</v>
      </c>
      <c r="K130" s="96" t="s">
        <v>8</v>
      </c>
      <c r="L130" s="68">
        <f>J130*G12</f>
        <v>450</v>
      </c>
      <c r="M130" s="1"/>
    </row>
    <row r="131" spans="2:13" x14ac:dyDescent="0.45">
      <c r="B131" s="2"/>
      <c r="C131" s="46" t="s">
        <v>55</v>
      </c>
      <c r="D131" s="32"/>
      <c r="E131" s="31" t="s">
        <v>8</v>
      </c>
      <c r="F131" s="55">
        <f>F129/D130</f>
        <v>43.253588516746412</v>
      </c>
      <c r="G131" s="1"/>
      <c r="H131" s="95">
        <v>6</v>
      </c>
      <c r="I131" s="97" t="s">
        <v>77</v>
      </c>
      <c r="J131" s="96">
        <v>1</v>
      </c>
      <c r="K131" s="31" t="s">
        <v>45</v>
      </c>
      <c r="L131" s="68">
        <f>J131*G11</f>
        <v>110</v>
      </c>
      <c r="M131" s="1"/>
    </row>
    <row r="132" spans="2:13" x14ac:dyDescent="0.45">
      <c r="B132" s="1"/>
      <c r="C132" s="1"/>
      <c r="D132" s="1"/>
      <c r="E132" s="1"/>
      <c r="F132" s="1"/>
      <c r="G132" s="1"/>
      <c r="H132" s="237" t="s">
        <v>90</v>
      </c>
      <c r="I132" s="238"/>
      <c r="J132" s="215" t="s">
        <v>53</v>
      </c>
      <c r="K132" s="216"/>
      <c r="L132" s="98">
        <f>SUM(L126:L131)</f>
        <v>29669</v>
      </c>
      <c r="M132" s="1"/>
    </row>
    <row r="133" spans="2:13" x14ac:dyDescent="0.45">
      <c r="B133" s="1"/>
      <c r="C133" s="1"/>
      <c r="D133" s="1"/>
      <c r="E133" s="1"/>
      <c r="F133" s="1"/>
      <c r="G133" s="1"/>
      <c r="H133" s="94" t="s">
        <v>91</v>
      </c>
      <c r="I133" s="94"/>
      <c r="J133" s="217" t="s">
        <v>92</v>
      </c>
      <c r="K133" s="216"/>
      <c r="L133" s="99">
        <v>809</v>
      </c>
      <c r="M133" s="1"/>
    </row>
    <row r="134" spans="2:13" x14ac:dyDescent="0.45">
      <c r="B134" s="1"/>
      <c r="C134" s="1"/>
      <c r="D134" s="1"/>
      <c r="E134" s="1"/>
      <c r="F134" s="1"/>
      <c r="G134" s="1"/>
      <c r="H134" s="100"/>
      <c r="I134" s="94"/>
      <c r="J134" s="101" t="s">
        <v>93</v>
      </c>
      <c r="K134" s="101"/>
      <c r="L134" s="103">
        <f>L132/L133</f>
        <v>36.673671199011125</v>
      </c>
      <c r="M134" s="1"/>
    </row>
    <row r="135" spans="2:13" x14ac:dyDescent="0.4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2:13" x14ac:dyDescent="0.45">
      <c r="B136" s="226" t="s">
        <v>97</v>
      </c>
      <c r="C136" s="226"/>
      <c r="D136" s="226"/>
      <c r="E136" s="226"/>
      <c r="F136" s="226"/>
      <c r="G136" s="226"/>
      <c r="H136" s="226"/>
      <c r="I136" s="226"/>
      <c r="J136" s="226"/>
      <c r="K136" s="226"/>
      <c r="L136" s="226"/>
      <c r="M136" s="1"/>
    </row>
    <row r="137" spans="2:13" ht="14.65" thickBot="1" x14ac:dyDescent="0.5">
      <c r="B137" s="2" t="s">
        <v>101</v>
      </c>
      <c r="C137" s="1"/>
      <c r="D137" s="1"/>
      <c r="E137" s="1"/>
      <c r="F137" s="1"/>
      <c r="G137" s="1"/>
      <c r="H137" s="2" t="s">
        <v>103</v>
      </c>
      <c r="I137" s="1"/>
      <c r="J137" s="1"/>
      <c r="K137" s="1"/>
      <c r="L137" s="1"/>
      <c r="M137" s="1"/>
    </row>
    <row r="138" spans="2:13" ht="14.65" thickBot="1" x14ac:dyDescent="0.5">
      <c r="B138" s="107" t="s">
        <v>0</v>
      </c>
      <c r="C138" s="107" t="s">
        <v>49</v>
      </c>
      <c r="D138" s="107" t="s">
        <v>34</v>
      </c>
      <c r="E138" s="107" t="s">
        <v>50</v>
      </c>
      <c r="F138" s="107" t="s">
        <v>36</v>
      </c>
      <c r="H138" s="109" t="s">
        <v>0</v>
      </c>
      <c r="I138" s="109" t="s">
        <v>49</v>
      </c>
      <c r="J138" s="109" t="s">
        <v>34</v>
      </c>
      <c r="K138" s="109" t="s">
        <v>50</v>
      </c>
      <c r="L138" s="109" t="s">
        <v>36</v>
      </c>
    </row>
    <row r="139" spans="2:13" x14ac:dyDescent="0.45">
      <c r="B139" s="38">
        <v>1</v>
      </c>
      <c r="C139" s="35" t="s">
        <v>105</v>
      </c>
      <c r="D139" s="36">
        <v>250</v>
      </c>
      <c r="E139" s="36" t="s">
        <v>8</v>
      </c>
      <c r="F139" s="37">
        <f>D139*G24</f>
        <v>19950</v>
      </c>
      <c r="H139" s="38">
        <v>1</v>
      </c>
      <c r="I139" s="39" t="s">
        <v>26</v>
      </c>
      <c r="J139" s="36">
        <v>250</v>
      </c>
      <c r="K139" s="36" t="s">
        <v>8</v>
      </c>
      <c r="L139" s="40">
        <f>J139*G23</f>
        <v>15200</v>
      </c>
    </row>
    <row r="140" spans="2:13" x14ac:dyDescent="0.45">
      <c r="B140" s="19">
        <v>2</v>
      </c>
      <c r="C140" s="14" t="s">
        <v>51</v>
      </c>
      <c r="D140" s="31">
        <v>35</v>
      </c>
      <c r="E140" s="31" t="s">
        <v>10</v>
      </c>
      <c r="F140" s="20">
        <f>D140*$G$14</f>
        <v>11.052631578947368</v>
      </c>
      <c r="H140" s="19">
        <v>2</v>
      </c>
      <c r="I140" s="14" t="s">
        <v>52</v>
      </c>
      <c r="J140" s="41">
        <v>35</v>
      </c>
      <c r="K140" s="31" t="s">
        <v>10</v>
      </c>
      <c r="L140" s="20">
        <f>J140*$G$14</f>
        <v>11.052631578947368</v>
      </c>
    </row>
    <row r="141" spans="2:13" x14ac:dyDescent="0.45">
      <c r="B141" s="42"/>
      <c r="C141" s="43" t="s">
        <v>53</v>
      </c>
      <c r="D141" s="44"/>
      <c r="E141" s="44"/>
      <c r="F141" s="16">
        <f>SUM(F139:F140)</f>
        <v>19961.052631578947</v>
      </c>
      <c r="H141" s="42"/>
      <c r="I141" s="43" t="s">
        <v>53</v>
      </c>
      <c r="J141" s="44"/>
      <c r="K141" s="44"/>
      <c r="L141" s="16">
        <f>SUM(L139:L140)</f>
        <v>15211.052631578947</v>
      </c>
    </row>
    <row r="142" spans="2:13" x14ac:dyDescent="0.45">
      <c r="B142" s="42"/>
      <c r="C142" s="1" t="s">
        <v>54</v>
      </c>
      <c r="D142" s="41">
        <v>279</v>
      </c>
      <c r="E142" s="41" t="s">
        <v>8</v>
      </c>
      <c r="F142" s="45"/>
      <c r="H142" s="42"/>
      <c r="I142" s="1" t="s">
        <v>54</v>
      </c>
      <c r="J142" s="41">
        <v>277</v>
      </c>
      <c r="K142" s="41" t="s">
        <v>8</v>
      </c>
      <c r="L142" s="45"/>
    </row>
    <row r="143" spans="2:13" x14ac:dyDescent="0.45">
      <c r="B143" s="2"/>
      <c r="C143" s="46" t="s">
        <v>55</v>
      </c>
      <c r="D143" s="32"/>
      <c r="E143" s="31" t="s">
        <v>8</v>
      </c>
      <c r="F143" s="108">
        <f>F141/D142</f>
        <v>71.544991511035647</v>
      </c>
      <c r="H143" s="2"/>
      <c r="I143" s="46" t="s">
        <v>55</v>
      </c>
      <c r="J143" s="32"/>
      <c r="K143" s="31" t="s">
        <v>8</v>
      </c>
      <c r="L143" s="108">
        <f>L141/J142</f>
        <v>54.91354740642219</v>
      </c>
    </row>
    <row r="144" spans="2:13" x14ac:dyDescent="0.45">
      <c r="B144" s="1"/>
      <c r="C144" s="1"/>
      <c r="D144" s="1"/>
      <c r="E144" s="1"/>
      <c r="F144" s="1"/>
    </row>
    <row r="145" spans="2:12" x14ac:dyDescent="0.45">
      <c r="B145" s="1"/>
      <c r="C145" s="1"/>
      <c r="D145" s="1"/>
      <c r="E145" s="1"/>
      <c r="F145" s="1"/>
    </row>
    <row r="146" spans="2:12" ht="14.65" thickBot="1" x14ac:dyDescent="0.5">
      <c r="B146" s="2" t="s">
        <v>102</v>
      </c>
      <c r="C146" s="1"/>
      <c r="D146" s="1"/>
      <c r="E146" s="1"/>
      <c r="F146" s="1"/>
      <c r="H146" s="2" t="s">
        <v>104</v>
      </c>
      <c r="I146" s="1"/>
      <c r="J146" s="1"/>
      <c r="K146" s="1"/>
      <c r="L146" s="1"/>
    </row>
    <row r="147" spans="2:12" ht="14.65" thickBot="1" x14ac:dyDescent="0.5">
      <c r="B147" s="107" t="s">
        <v>0</v>
      </c>
      <c r="C147" s="107" t="s">
        <v>49</v>
      </c>
      <c r="D147" s="107" t="s">
        <v>34</v>
      </c>
      <c r="E147" s="107" t="s">
        <v>50</v>
      </c>
      <c r="F147" s="107" t="s">
        <v>36</v>
      </c>
      <c r="H147" s="109" t="s">
        <v>0</v>
      </c>
      <c r="I147" s="109" t="s">
        <v>49</v>
      </c>
      <c r="J147" s="109" t="s">
        <v>34</v>
      </c>
      <c r="K147" s="109" t="s">
        <v>50</v>
      </c>
      <c r="L147" s="109" t="s">
        <v>36</v>
      </c>
    </row>
    <row r="148" spans="2:12" x14ac:dyDescent="0.45">
      <c r="B148" s="38">
        <v>1</v>
      </c>
      <c r="C148" s="39" t="s">
        <v>106</v>
      </c>
      <c r="D148" s="36">
        <v>200</v>
      </c>
      <c r="E148" s="36" t="s">
        <v>8</v>
      </c>
      <c r="F148" s="40">
        <f>D148*G26</f>
        <v>40000</v>
      </c>
      <c r="H148" s="38">
        <v>1</v>
      </c>
      <c r="I148" s="39" t="s">
        <v>107</v>
      </c>
      <c r="J148" s="36">
        <v>250</v>
      </c>
      <c r="K148" s="36" t="s">
        <v>8</v>
      </c>
      <c r="L148" s="40">
        <f>J148*G25</f>
        <v>19000</v>
      </c>
    </row>
    <row r="149" spans="2:12" x14ac:dyDescent="0.45">
      <c r="B149" s="19">
        <v>2</v>
      </c>
      <c r="C149" s="14" t="s">
        <v>52</v>
      </c>
      <c r="D149" s="31">
        <v>425</v>
      </c>
      <c r="E149" s="31" t="s">
        <v>10</v>
      </c>
      <c r="F149" s="20">
        <f>D149*$G$14</f>
        <v>134.21052631578948</v>
      </c>
      <c r="H149" s="19">
        <v>2</v>
      </c>
      <c r="I149" s="14" t="s">
        <v>52</v>
      </c>
      <c r="J149" s="41">
        <v>35</v>
      </c>
      <c r="K149" s="31" t="s">
        <v>10</v>
      </c>
      <c r="L149" s="20">
        <f>J149*$G$14</f>
        <v>11.052631578947368</v>
      </c>
    </row>
    <row r="150" spans="2:12" x14ac:dyDescent="0.45">
      <c r="B150" s="42"/>
      <c r="C150" s="43" t="s">
        <v>53</v>
      </c>
      <c r="D150" s="44"/>
      <c r="E150" s="44"/>
      <c r="F150" s="16">
        <f>SUM(F148:F149)</f>
        <v>40134.210526315786</v>
      </c>
      <c r="H150" s="42"/>
      <c r="I150" s="43" t="s">
        <v>53</v>
      </c>
      <c r="J150" s="44"/>
      <c r="K150" s="44"/>
      <c r="L150" s="16">
        <f>SUM(L148:L149)</f>
        <v>19011.052631578947</v>
      </c>
    </row>
    <row r="151" spans="2:12" x14ac:dyDescent="0.45">
      <c r="B151" s="42"/>
      <c r="C151" s="1" t="s">
        <v>54</v>
      </c>
      <c r="D151" s="41">
        <v>575</v>
      </c>
      <c r="E151" s="41" t="s">
        <v>8</v>
      </c>
      <c r="F151" s="45"/>
      <c r="H151" s="42"/>
      <c r="I151" s="1" t="s">
        <v>54</v>
      </c>
      <c r="J151" s="41">
        <v>266</v>
      </c>
      <c r="K151" s="41" t="s">
        <v>8</v>
      </c>
      <c r="L151" s="45"/>
    </row>
    <row r="152" spans="2:12" x14ac:dyDescent="0.45">
      <c r="B152" s="1"/>
      <c r="C152" s="46" t="s">
        <v>55</v>
      </c>
      <c r="D152" s="32"/>
      <c r="E152" s="31" t="s">
        <v>8</v>
      </c>
      <c r="F152" s="108">
        <f>F150/D151</f>
        <v>69.798627002288328</v>
      </c>
      <c r="H152" s="2"/>
      <c r="I152" s="46" t="s">
        <v>55</v>
      </c>
      <c r="J152" s="32"/>
      <c r="K152" s="31" t="s">
        <v>8</v>
      </c>
      <c r="L152" s="108">
        <f>L150/J151</f>
        <v>71.470122675108826</v>
      </c>
    </row>
    <row r="153" spans="2:12" x14ac:dyDescent="0.45">
      <c r="B153" s="1"/>
      <c r="C153" s="1"/>
      <c r="D153" s="1"/>
      <c r="E153" s="1"/>
      <c r="F153" s="1"/>
    </row>
  </sheetData>
  <mergeCells count="30">
    <mergeCell ref="B136:L136"/>
    <mergeCell ref="B2:H2"/>
    <mergeCell ref="B74:L74"/>
    <mergeCell ref="K15:L15"/>
    <mergeCell ref="K16:L16"/>
    <mergeCell ref="K17:L17"/>
    <mergeCell ref="J57:K57"/>
    <mergeCell ref="B42:L42"/>
    <mergeCell ref="B59:L59"/>
    <mergeCell ref="J72:K72"/>
    <mergeCell ref="K19:L19"/>
    <mergeCell ref="B4:G4"/>
    <mergeCell ref="I4:L4"/>
    <mergeCell ref="I5:M5"/>
    <mergeCell ref="I6:M6"/>
    <mergeCell ref="H132:I132"/>
    <mergeCell ref="J132:K132"/>
    <mergeCell ref="J133:K133"/>
    <mergeCell ref="B107:L107"/>
    <mergeCell ref="D82:E82"/>
    <mergeCell ref="D88:E88"/>
    <mergeCell ref="D89:E89"/>
    <mergeCell ref="D90:E90"/>
    <mergeCell ref="B92:L92"/>
    <mergeCell ref="K18:L18"/>
    <mergeCell ref="D98:E98"/>
    <mergeCell ref="D100:E100"/>
    <mergeCell ref="D105:E105"/>
    <mergeCell ref="J96:K96"/>
    <mergeCell ref="J101:K101"/>
  </mergeCells>
  <pageMargins left="0.7" right="0.7" top="0.75" bottom="0.75" header="0.3" footer="0.3"/>
  <pageSetup paperSize="9" orientation="portrait" horizontalDpi="0" verticalDpi="0" r:id="rId1"/>
  <ignoredErrors>
    <ignoredError sqref="F65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5BFE0-2091-44C1-A272-E6966689F25A}">
  <dimension ref="B2:W126"/>
  <sheetViews>
    <sheetView workbookViewId="0">
      <selection activeCell="F11" sqref="F11"/>
    </sheetView>
  </sheetViews>
  <sheetFormatPr defaultRowHeight="14.25" x14ac:dyDescent="0.45"/>
  <cols>
    <col min="3" max="3" width="40.46484375" customWidth="1"/>
    <col min="6" max="8" width="10.19921875" bestFit="1" customWidth="1"/>
    <col min="9" max="9" width="18.796875" bestFit="1" customWidth="1"/>
    <col min="10" max="10" width="10.796875" customWidth="1"/>
    <col min="12" max="12" width="10.19921875" bestFit="1" customWidth="1"/>
    <col min="15" max="15" width="18.796875" bestFit="1" customWidth="1"/>
    <col min="18" max="18" width="10.19921875" bestFit="1" customWidth="1"/>
  </cols>
  <sheetData>
    <row r="2" spans="2:18" x14ac:dyDescent="0.45">
      <c r="B2" s="243" t="s">
        <v>144</v>
      </c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3"/>
      <c r="R2" s="243"/>
    </row>
    <row r="3" spans="2:18" x14ac:dyDescent="0.45">
      <c r="B3" s="1" t="s">
        <v>111</v>
      </c>
      <c r="C3" s="1"/>
      <c r="D3" s="1"/>
      <c r="E3" s="1"/>
      <c r="F3" s="1"/>
      <c r="G3" s="1"/>
      <c r="H3" s="1" t="s">
        <v>156</v>
      </c>
      <c r="I3" s="1"/>
      <c r="J3" s="1"/>
      <c r="K3" s="1"/>
      <c r="L3" s="1"/>
      <c r="N3" s="1" t="s">
        <v>288</v>
      </c>
      <c r="O3" s="1"/>
      <c r="P3" s="1"/>
      <c r="Q3" s="1"/>
      <c r="R3" s="1"/>
    </row>
    <row r="4" spans="2:18" ht="14.65" thickBot="1" x14ac:dyDescent="0.5">
      <c r="B4" s="1" t="s">
        <v>149</v>
      </c>
      <c r="C4" s="1"/>
      <c r="D4" s="1"/>
      <c r="E4" s="1"/>
      <c r="F4" s="1"/>
      <c r="G4" s="1"/>
      <c r="H4" s="1" t="s">
        <v>150</v>
      </c>
      <c r="I4" s="1"/>
      <c r="J4" s="1"/>
      <c r="K4" s="1"/>
      <c r="L4" s="1"/>
      <c r="N4" s="1" t="s">
        <v>287</v>
      </c>
      <c r="O4" s="1"/>
      <c r="P4" s="1"/>
      <c r="Q4" s="1"/>
      <c r="R4" s="1"/>
    </row>
    <row r="5" spans="2:18" ht="14.65" thickBot="1" x14ac:dyDescent="0.5">
      <c r="B5" s="111" t="s">
        <v>0</v>
      </c>
      <c r="C5" s="111" t="s">
        <v>49</v>
      </c>
      <c r="D5" s="111" t="s">
        <v>34</v>
      </c>
      <c r="E5" s="111" t="s">
        <v>50</v>
      </c>
      <c r="F5" s="111" t="s">
        <v>36</v>
      </c>
      <c r="G5" s="1"/>
      <c r="H5" s="111" t="s">
        <v>0</v>
      </c>
      <c r="I5" s="111" t="s">
        <v>49</v>
      </c>
      <c r="J5" s="111" t="s">
        <v>34</v>
      </c>
      <c r="K5" s="111" t="s">
        <v>50</v>
      </c>
      <c r="L5" s="111" t="s">
        <v>36</v>
      </c>
      <c r="N5" s="111" t="s">
        <v>0</v>
      </c>
      <c r="O5" s="111" t="s">
        <v>49</v>
      </c>
      <c r="P5" s="111" t="s">
        <v>34</v>
      </c>
      <c r="Q5" s="111" t="s">
        <v>50</v>
      </c>
      <c r="R5" s="111" t="s">
        <v>36</v>
      </c>
    </row>
    <row r="6" spans="2:18" x14ac:dyDescent="0.45">
      <c r="B6" s="38">
        <v>1</v>
      </c>
      <c r="C6" s="39" t="s">
        <v>112</v>
      </c>
      <c r="D6" s="36">
        <v>1</v>
      </c>
      <c r="E6" s="36" t="s">
        <v>113</v>
      </c>
      <c r="F6" s="40">
        <f>D6*'Daftar HPP'!$L$57</f>
        <v>4875.7315789473687</v>
      </c>
      <c r="G6" s="1"/>
      <c r="H6" s="38">
        <v>1</v>
      </c>
      <c r="I6" s="39" t="s">
        <v>112</v>
      </c>
      <c r="J6" s="36">
        <v>1</v>
      </c>
      <c r="K6" s="36" t="s">
        <v>113</v>
      </c>
      <c r="L6" s="40">
        <f>J6*'Daftar HPP'!$L$57</f>
        <v>4875.7315789473687</v>
      </c>
      <c r="N6" s="38">
        <v>1</v>
      </c>
      <c r="O6" s="39" t="s">
        <v>112</v>
      </c>
      <c r="P6" s="36">
        <v>1</v>
      </c>
      <c r="Q6" s="36" t="s">
        <v>113</v>
      </c>
      <c r="R6" s="40">
        <f>P6*'Daftar HPP'!$L$57</f>
        <v>4875.7315789473687</v>
      </c>
    </row>
    <row r="7" spans="2:18" x14ac:dyDescent="0.45">
      <c r="B7" s="19">
        <v>2</v>
      </c>
      <c r="C7" s="14" t="s">
        <v>114</v>
      </c>
      <c r="D7" s="31">
        <v>1</v>
      </c>
      <c r="E7" s="31" t="s">
        <v>23</v>
      </c>
      <c r="F7" s="20">
        <f>D7*'Daftar HPP'!$G$20</f>
        <v>500</v>
      </c>
      <c r="G7" s="1"/>
      <c r="H7" s="19">
        <v>2</v>
      </c>
      <c r="I7" s="14" t="s">
        <v>20</v>
      </c>
      <c r="J7" s="31">
        <v>40</v>
      </c>
      <c r="K7" s="31" t="s">
        <v>8</v>
      </c>
      <c r="L7" s="20">
        <f>J7*'Daftar HPP'!$F$114</f>
        <v>1874.0829346092503</v>
      </c>
      <c r="N7" s="19">
        <v>2</v>
      </c>
      <c r="O7" s="14" t="s">
        <v>286</v>
      </c>
      <c r="P7" s="31">
        <v>60</v>
      </c>
      <c r="Q7" s="31" t="s">
        <v>8</v>
      </c>
      <c r="R7" s="20">
        <f>P7*'Daftar HPP'!$L$134</f>
        <v>2200.4202719406676</v>
      </c>
    </row>
    <row r="8" spans="2:18" x14ac:dyDescent="0.45">
      <c r="B8" s="19">
        <v>3</v>
      </c>
      <c r="C8" s="14" t="s">
        <v>29</v>
      </c>
      <c r="D8" s="31">
        <v>1</v>
      </c>
      <c r="E8" s="31" t="s">
        <v>115</v>
      </c>
      <c r="F8" s="20">
        <f>D8*'Daftar HPP'!$G$37</f>
        <v>388</v>
      </c>
      <c r="G8" s="1"/>
      <c r="H8" s="19">
        <v>3</v>
      </c>
      <c r="I8" s="14" t="s">
        <v>30</v>
      </c>
      <c r="J8" s="31">
        <v>1</v>
      </c>
      <c r="K8" s="31" t="s">
        <v>115</v>
      </c>
      <c r="L8" s="20">
        <f>J8*'Daftar HPP'!$G$38</f>
        <v>810</v>
      </c>
      <c r="N8" s="19">
        <v>3</v>
      </c>
      <c r="O8" s="14" t="s">
        <v>285</v>
      </c>
      <c r="P8" s="31">
        <v>30</v>
      </c>
      <c r="Q8" s="31" t="s">
        <v>8</v>
      </c>
      <c r="R8" s="20">
        <f>P8*'Daftar HPP'!$L$134</f>
        <v>1100.2101359703338</v>
      </c>
    </row>
    <row r="9" spans="2:18" x14ac:dyDescent="0.45">
      <c r="B9" s="1"/>
      <c r="C9" s="1"/>
      <c r="D9" s="112" t="s">
        <v>53</v>
      </c>
      <c r="E9" s="113"/>
      <c r="F9" s="114">
        <f>SUM(F6:F8)</f>
        <v>5763.7315789473687</v>
      </c>
      <c r="G9" s="1"/>
      <c r="H9" s="1"/>
      <c r="I9" s="1"/>
      <c r="J9" s="112" t="s">
        <v>53</v>
      </c>
      <c r="K9" s="113"/>
      <c r="L9" s="114">
        <f>SUM(L6:L8)</f>
        <v>7559.8145135566192</v>
      </c>
      <c r="N9" s="19">
        <v>4</v>
      </c>
      <c r="O9" s="14" t="s">
        <v>24</v>
      </c>
      <c r="P9" s="31">
        <v>25</v>
      </c>
      <c r="Q9" s="31" t="s">
        <v>8</v>
      </c>
      <c r="R9" s="16">
        <f>P9*'Daftar HPP'!$G$21</f>
        <v>4062.5</v>
      </c>
    </row>
    <row r="10" spans="2:18" x14ac:dyDescent="0.45">
      <c r="B10" s="1"/>
      <c r="C10" s="1"/>
      <c r="D10" s="115" t="s">
        <v>116</v>
      </c>
      <c r="E10" s="116"/>
      <c r="F10" s="117">
        <v>10000</v>
      </c>
      <c r="G10" s="1"/>
      <c r="H10" s="1"/>
      <c r="I10" s="1"/>
      <c r="J10" s="115" t="s">
        <v>116</v>
      </c>
      <c r="K10" s="116"/>
      <c r="L10" s="117">
        <v>13000</v>
      </c>
      <c r="N10" s="19">
        <v>5</v>
      </c>
      <c r="O10" s="14" t="s">
        <v>30</v>
      </c>
      <c r="P10" s="31">
        <v>1</v>
      </c>
      <c r="Q10" s="31" t="s">
        <v>115</v>
      </c>
      <c r="R10" s="20">
        <f>P10*'Daftar HPP'!$G$38</f>
        <v>810</v>
      </c>
    </row>
    <row r="11" spans="2:18" x14ac:dyDescent="0.45">
      <c r="B11" s="1"/>
      <c r="C11" s="1"/>
      <c r="D11" s="115" t="s">
        <v>119</v>
      </c>
      <c r="E11" s="116"/>
      <c r="F11" s="118">
        <f>F10-F9</f>
        <v>4236.2684210526313</v>
      </c>
      <c r="G11" s="1"/>
      <c r="H11" s="1"/>
      <c r="I11" s="1"/>
      <c r="J11" s="115" t="s">
        <v>119</v>
      </c>
      <c r="K11" s="116"/>
      <c r="L11" s="118">
        <f>L10-L9</f>
        <v>5440.1854864433808</v>
      </c>
      <c r="P11" s="112" t="s">
        <v>53</v>
      </c>
      <c r="Q11" s="113"/>
      <c r="R11" s="114">
        <f>SUM(R6:R10)</f>
        <v>13048.86198685837</v>
      </c>
    </row>
    <row r="12" spans="2:18" x14ac:dyDescent="0.4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P12" s="115" t="s">
        <v>116</v>
      </c>
      <c r="Q12" s="116"/>
      <c r="R12" s="117"/>
    </row>
    <row r="13" spans="2:18" x14ac:dyDescent="0.45">
      <c r="B13" s="1" t="s">
        <v>153</v>
      </c>
      <c r="C13" s="1"/>
      <c r="D13" s="1"/>
      <c r="E13" s="1"/>
      <c r="F13" s="1"/>
      <c r="G13" s="1"/>
      <c r="H13" s="1" t="s">
        <v>157</v>
      </c>
      <c r="I13" s="1"/>
      <c r="J13" s="1"/>
      <c r="K13" s="1"/>
      <c r="L13" s="1"/>
      <c r="P13" s="115" t="s">
        <v>119</v>
      </c>
      <c r="Q13" s="116"/>
      <c r="R13" s="118"/>
    </row>
    <row r="14" spans="2:18" ht="14.65" thickBot="1" x14ac:dyDescent="0.5">
      <c r="B14" s="1" t="s">
        <v>148</v>
      </c>
      <c r="C14" s="1"/>
      <c r="D14" s="1"/>
      <c r="E14" s="1"/>
      <c r="F14" s="1"/>
      <c r="G14" s="1"/>
      <c r="H14" s="1" t="s">
        <v>120</v>
      </c>
      <c r="I14" s="1"/>
      <c r="J14" s="1"/>
      <c r="K14" s="1"/>
      <c r="L14" s="1"/>
    </row>
    <row r="15" spans="2:18" ht="14.65" thickBot="1" x14ac:dyDescent="0.5">
      <c r="B15" s="111" t="s">
        <v>0</v>
      </c>
      <c r="C15" s="111" t="s">
        <v>49</v>
      </c>
      <c r="D15" s="111" t="s">
        <v>34</v>
      </c>
      <c r="E15" s="111" t="s">
        <v>50</v>
      </c>
      <c r="F15" s="111" t="s">
        <v>36</v>
      </c>
      <c r="G15" s="1"/>
      <c r="H15" s="111" t="s">
        <v>0</v>
      </c>
      <c r="I15" s="111" t="s">
        <v>49</v>
      </c>
      <c r="J15" s="111" t="s">
        <v>34</v>
      </c>
      <c r="K15" s="111" t="s">
        <v>50</v>
      </c>
      <c r="L15" s="111" t="s">
        <v>36</v>
      </c>
      <c r="N15" s="1" t="s">
        <v>289</v>
      </c>
      <c r="O15" s="1"/>
      <c r="P15" s="1"/>
      <c r="Q15" s="1"/>
      <c r="R15" s="1"/>
    </row>
    <row r="16" spans="2:18" ht="14.65" thickBot="1" x14ac:dyDescent="0.5">
      <c r="B16" s="38">
        <v>1</v>
      </c>
      <c r="C16" s="39" t="s">
        <v>112</v>
      </c>
      <c r="D16" s="36">
        <v>1</v>
      </c>
      <c r="E16" s="36" t="s">
        <v>113</v>
      </c>
      <c r="F16" s="40">
        <f>D16*'Daftar HPP'!$L$57</f>
        <v>4875.7315789473687</v>
      </c>
      <c r="G16" s="1"/>
      <c r="H16" s="38">
        <v>1</v>
      </c>
      <c r="I16" s="39" t="s">
        <v>112</v>
      </c>
      <c r="J16" s="36">
        <v>1</v>
      </c>
      <c r="K16" s="36" t="s">
        <v>113</v>
      </c>
      <c r="L16" s="40">
        <f>J16*'Daftar HPP'!$L$57</f>
        <v>4875.7315789473687</v>
      </c>
      <c r="N16" s="1" t="s">
        <v>290</v>
      </c>
      <c r="O16" s="1"/>
      <c r="P16" s="1"/>
      <c r="Q16" s="1"/>
      <c r="R16" s="1"/>
    </row>
    <row r="17" spans="2:18" ht="14.65" thickBot="1" x14ac:dyDescent="0.5">
      <c r="B17" s="19">
        <v>2</v>
      </c>
      <c r="C17" s="14" t="s">
        <v>17</v>
      </c>
      <c r="D17" s="31">
        <v>50</v>
      </c>
      <c r="E17" s="31" t="s">
        <v>8</v>
      </c>
      <c r="F17" s="20">
        <f>D17*'Daftar HPP'!$L$122</f>
        <v>1802.6315789473686</v>
      </c>
      <c r="G17" s="1"/>
      <c r="H17" s="19">
        <v>2</v>
      </c>
      <c r="I17" s="14" t="s">
        <v>121</v>
      </c>
      <c r="J17" s="31">
        <v>40</v>
      </c>
      <c r="K17" s="31" t="s">
        <v>8</v>
      </c>
      <c r="L17" s="20">
        <f>J17*'Daftar HPP'!$F$123</f>
        <v>1845.2950558213715</v>
      </c>
      <c r="N17" s="111" t="s">
        <v>0</v>
      </c>
      <c r="O17" s="111" t="s">
        <v>49</v>
      </c>
      <c r="P17" s="111" t="s">
        <v>34</v>
      </c>
      <c r="Q17" s="111" t="s">
        <v>50</v>
      </c>
      <c r="R17" s="111" t="s">
        <v>36</v>
      </c>
    </row>
    <row r="18" spans="2:18" x14ac:dyDescent="0.45">
      <c r="B18" s="19">
        <v>3</v>
      </c>
      <c r="C18" s="14" t="s">
        <v>30</v>
      </c>
      <c r="D18" s="31">
        <v>1</v>
      </c>
      <c r="E18" s="31" t="s">
        <v>115</v>
      </c>
      <c r="F18" s="20">
        <f>D18*'Daftar HPP'!$G$38</f>
        <v>810</v>
      </c>
      <c r="G18" s="1"/>
      <c r="H18" s="19">
        <v>3</v>
      </c>
      <c r="I18" s="14" t="s">
        <v>30</v>
      </c>
      <c r="J18" s="31">
        <v>1</v>
      </c>
      <c r="K18" s="31" t="s">
        <v>115</v>
      </c>
      <c r="L18" s="20">
        <f>J18*'Daftar HPP'!$G$38</f>
        <v>810</v>
      </c>
      <c r="N18" s="38">
        <v>1</v>
      </c>
      <c r="O18" s="39" t="s">
        <v>112</v>
      </c>
      <c r="P18" s="36">
        <v>1</v>
      </c>
      <c r="Q18" s="36" t="s">
        <v>113</v>
      </c>
      <c r="R18" s="40">
        <f>P18*'Daftar HPP'!$L$57</f>
        <v>4875.7315789473687</v>
      </c>
    </row>
    <row r="19" spans="2:18" x14ac:dyDescent="0.45">
      <c r="B19" s="1"/>
      <c r="C19" s="1"/>
      <c r="D19" s="112" t="s">
        <v>53</v>
      </c>
      <c r="E19" s="113"/>
      <c r="F19" s="114">
        <f>SUM(F16:F18)</f>
        <v>7488.363157894737</v>
      </c>
      <c r="G19" s="1"/>
      <c r="H19" s="1"/>
      <c r="I19" s="1"/>
      <c r="J19" s="112" t="s">
        <v>53</v>
      </c>
      <c r="K19" s="113"/>
      <c r="L19" s="114">
        <f>SUM(L16:L18)</f>
        <v>7531.0266347687402</v>
      </c>
      <c r="N19" s="19">
        <v>2</v>
      </c>
      <c r="O19" s="14" t="s">
        <v>286</v>
      </c>
      <c r="P19" s="31">
        <v>60</v>
      </c>
      <c r="Q19" s="31" t="s">
        <v>8</v>
      </c>
      <c r="R19" s="20">
        <f>P19*'Daftar HPP'!$L$134</f>
        <v>2200.4202719406676</v>
      </c>
    </row>
    <row r="20" spans="2:18" x14ac:dyDescent="0.45">
      <c r="B20" s="1"/>
      <c r="C20" s="1"/>
      <c r="D20" s="115" t="s">
        <v>116</v>
      </c>
      <c r="E20" s="116"/>
      <c r="F20" s="117">
        <v>13000</v>
      </c>
      <c r="G20" s="1"/>
      <c r="H20" s="1"/>
      <c r="I20" s="1"/>
      <c r="J20" s="115" t="s">
        <v>116</v>
      </c>
      <c r="K20" s="116"/>
      <c r="L20" s="117">
        <v>13000</v>
      </c>
      <c r="N20" s="19">
        <v>3</v>
      </c>
      <c r="O20" s="14" t="s">
        <v>285</v>
      </c>
      <c r="P20" s="31">
        <v>30</v>
      </c>
      <c r="Q20" s="31" t="s">
        <v>8</v>
      </c>
      <c r="R20" s="20">
        <f>P20*'Daftar HPP'!$L$134</f>
        <v>1100.2101359703338</v>
      </c>
    </row>
    <row r="21" spans="2:18" x14ac:dyDescent="0.45">
      <c r="B21" s="1"/>
      <c r="C21" s="1"/>
      <c r="D21" s="115" t="s">
        <v>119</v>
      </c>
      <c r="E21" s="116"/>
      <c r="F21" s="118">
        <f>F20-F19</f>
        <v>5511.636842105263</v>
      </c>
      <c r="G21" s="1"/>
      <c r="H21" s="1"/>
      <c r="I21" s="1"/>
      <c r="J21" s="115" t="s">
        <v>119</v>
      </c>
      <c r="K21" s="116"/>
      <c r="L21" s="118">
        <f>L20-L19</f>
        <v>5468.9733652312598</v>
      </c>
      <c r="N21" s="19">
        <v>4</v>
      </c>
      <c r="O21" s="14" t="s">
        <v>25</v>
      </c>
      <c r="P21" s="31">
        <v>30</v>
      </c>
      <c r="Q21" s="31" t="s">
        <v>8</v>
      </c>
      <c r="R21" s="20">
        <f>P21*'Daftar HPP'!$G$22</f>
        <v>1995</v>
      </c>
    </row>
    <row r="22" spans="2:18" x14ac:dyDescent="0.4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N22" s="19">
        <v>5</v>
      </c>
      <c r="O22" s="14" t="s">
        <v>30</v>
      </c>
      <c r="P22" s="31">
        <v>1</v>
      </c>
      <c r="Q22" s="31" t="s">
        <v>115</v>
      </c>
      <c r="R22" s="20">
        <f>P22*'Daftar HPP'!$G$38</f>
        <v>810</v>
      </c>
    </row>
    <row r="23" spans="2:18" x14ac:dyDescent="0.45">
      <c r="B23" s="1" t="s">
        <v>154</v>
      </c>
      <c r="C23" s="1"/>
      <c r="D23" s="1"/>
      <c r="E23" s="1"/>
      <c r="F23" s="1"/>
      <c r="G23" s="1"/>
      <c r="H23" s="1" t="s">
        <v>158</v>
      </c>
      <c r="I23" s="1"/>
      <c r="J23" s="1"/>
      <c r="K23" s="1"/>
      <c r="L23" s="1"/>
      <c r="P23" s="112" t="s">
        <v>53</v>
      </c>
      <c r="Q23" s="113"/>
      <c r="R23" s="114">
        <f>SUM(R18:R22)</f>
        <v>10981.36198685837</v>
      </c>
    </row>
    <row r="24" spans="2:18" ht="14.65" thickBot="1" x14ac:dyDescent="0.5">
      <c r="B24" s="1" t="s">
        <v>152</v>
      </c>
      <c r="C24" s="1"/>
      <c r="D24" s="1"/>
      <c r="E24" s="1"/>
      <c r="F24" s="1"/>
      <c r="G24" s="1"/>
      <c r="H24" s="1" t="s">
        <v>122</v>
      </c>
      <c r="I24" s="1"/>
      <c r="J24" s="1"/>
      <c r="K24" s="1"/>
      <c r="L24" s="1"/>
      <c r="P24" s="115" t="s">
        <v>116</v>
      </c>
      <c r="Q24" s="116"/>
      <c r="R24" s="117"/>
    </row>
    <row r="25" spans="2:18" ht="14.65" thickBot="1" x14ac:dyDescent="0.5">
      <c r="B25" s="111" t="s">
        <v>0</v>
      </c>
      <c r="C25" s="111" t="s">
        <v>49</v>
      </c>
      <c r="D25" s="111" t="s">
        <v>34</v>
      </c>
      <c r="E25" s="111" t="s">
        <v>50</v>
      </c>
      <c r="F25" s="111" t="s">
        <v>36</v>
      </c>
      <c r="G25" s="1"/>
      <c r="H25" s="111" t="s">
        <v>0</v>
      </c>
      <c r="I25" s="111" t="s">
        <v>49</v>
      </c>
      <c r="J25" s="111" t="s">
        <v>34</v>
      </c>
      <c r="K25" s="111" t="s">
        <v>50</v>
      </c>
      <c r="L25" s="111" t="s">
        <v>36</v>
      </c>
      <c r="P25" s="115" t="s">
        <v>119</v>
      </c>
      <c r="Q25" s="116"/>
      <c r="R25" s="118"/>
    </row>
    <row r="26" spans="2:18" x14ac:dyDescent="0.45">
      <c r="B26" s="38">
        <v>1</v>
      </c>
      <c r="C26" s="39" t="s">
        <v>112</v>
      </c>
      <c r="D26" s="36">
        <v>1</v>
      </c>
      <c r="E26" s="36" t="s">
        <v>113</v>
      </c>
      <c r="F26" s="40">
        <f>D26*'Daftar HPP'!$L$57</f>
        <v>4875.7315789473687</v>
      </c>
      <c r="G26" s="1"/>
      <c r="H26" s="38">
        <v>1</v>
      </c>
      <c r="I26" s="39" t="s">
        <v>112</v>
      </c>
      <c r="J26" s="36">
        <v>1</v>
      </c>
      <c r="K26" s="36" t="s">
        <v>113</v>
      </c>
      <c r="L26" s="40">
        <f>J26*'Daftar HPP'!$L$57</f>
        <v>4875.7315789473687</v>
      </c>
    </row>
    <row r="27" spans="2:18" x14ac:dyDescent="0.45">
      <c r="B27" s="19">
        <v>2</v>
      </c>
      <c r="C27" s="14" t="s">
        <v>19</v>
      </c>
      <c r="D27" s="31">
        <v>40</v>
      </c>
      <c r="E27" s="31" t="s">
        <v>8</v>
      </c>
      <c r="F27" s="20">
        <f>D27*'Daftar HPP'!$L$114</f>
        <v>1787.719298245614</v>
      </c>
      <c r="G27" s="2"/>
      <c r="H27" s="19">
        <v>2</v>
      </c>
      <c r="I27" s="14" t="s">
        <v>25</v>
      </c>
      <c r="J27" s="31">
        <v>40</v>
      </c>
      <c r="K27" s="31" t="s">
        <v>8</v>
      </c>
      <c r="L27" s="20">
        <f>J27*'Daftar HPP'!$G$22</f>
        <v>2660</v>
      </c>
    </row>
    <row r="28" spans="2:18" x14ac:dyDescent="0.45">
      <c r="B28" s="19">
        <v>3</v>
      </c>
      <c r="C28" s="14" t="s">
        <v>30</v>
      </c>
      <c r="D28" s="31">
        <v>1</v>
      </c>
      <c r="E28" s="31" t="s">
        <v>115</v>
      </c>
      <c r="F28" s="20">
        <f>D28*'Daftar HPP'!$G$38</f>
        <v>810</v>
      </c>
      <c r="G28" s="1"/>
      <c r="H28" s="19">
        <v>3</v>
      </c>
      <c r="I28" s="14" t="s">
        <v>30</v>
      </c>
      <c r="J28" s="31">
        <v>1</v>
      </c>
      <c r="K28" s="31" t="s">
        <v>115</v>
      </c>
      <c r="L28" s="20">
        <f>J28*'Daftar HPP'!$G$38</f>
        <v>810</v>
      </c>
    </row>
    <row r="29" spans="2:18" x14ac:dyDescent="0.45">
      <c r="B29" s="1"/>
      <c r="C29" s="1"/>
      <c r="D29" s="112" t="s">
        <v>53</v>
      </c>
      <c r="E29" s="113"/>
      <c r="F29" s="114">
        <f>SUM(F26:F28)</f>
        <v>7473.4508771929832</v>
      </c>
      <c r="G29" s="1"/>
      <c r="H29" s="1"/>
      <c r="I29" s="1"/>
      <c r="J29" s="112" t="s">
        <v>53</v>
      </c>
      <c r="K29" s="113"/>
      <c r="L29" s="114">
        <f>SUM(L26:L28)</f>
        <v>8345.7315789473687</v>
      </c>
    </row>
    <row r="30" spans="2:18" x14ac:dyDescent="0.45">
      <c r="B30" s="1"/>
      <c r="C30" s="1"/>
      <c r="D30" s="115" t="s">
        <v>116</v>
      </c>
      <c r="E30" s="116"/>
      <c r="F30" s="117">
        <v>13000</v>
      </c>
      <c r="G30" s="1"/>
      <c r="H30" s="1"/>
      <c r="I30" s="1"/>
      <c r="J30" s="115" t="s">
        <v>116</v>
      </c>
      <c r="K30" s="116"/>
      <c r="L30" s="117">
        <v>13000</v>
      </c>
    </row>
    <row r="31" spans="2:18" x14ac:dyDescent="0.45">
      <c r="B31" s="1"/>
      <c r="C31" s="1"/>
      <c r="D31" s="115" t="s">
        <v>119</v>
      </c>
      <c r="E31" s="116"/>
      <c r="F31" s="118">
        <f>F30-F29</f>
        <v>5526.5491228070168</v>
      </c>
      <c r="G31" s="1"/>
      <c r="H31" s="1"/>
      <c r="I31" s="1"/>
      <c r="J31" s="115" t="s">
        <v>119</v>
      </c>
      <c r="K31" s="116"/>
      <c r="L31" s="118">
        <f>L30-L29</f>
        <v>4654.2684210526313</v>
      </c>
    </row>
    <row r="32" spans="2:18" x14ac:dyDescent="0.45">
      <c r="B32" s="1"/>
      <c r="C32" s="1"/>
      <c r="D32" s="1"/>
      <c r="E32" s="1"/>
      <c r="F32" s="1"/>
      <c r="G32" s="1"/>
    </row>
    <row r="33" spans="2:19" x14ac:dyDescent="0.45">
      <c r="B33" s="1" t="s">
        <v>155</v>
      </c>
      <c r="C33" s="1"/>
      <c r="D33" s="1"/>
      <c r="E33" s="1"/>
      <c r="F33" s="1"/>
      <c r="G33" s="1"/>
      <c r="H33" s="1" t="s">
        <v>159</v>
      </c>
      <c r="I33" s="1"/>
      <c r="J33" s="1"/>
      <c r="K33" s="1"/>
      <c r="L33" s="1"/>
    </row>
    <row r="34" spans="2:19" ht="14.65" thickBot="1" x14ac:dyDescent="0.5">
      <c r="B34" s="1" t="s">
        <v>151</v>
      </c>
      <c r="C34" s="1"/>
      <c r="D34" s="1"/>
      <c r="E34" s="1"/>
      <c r="F34" s="1"/>
      <c r="G34" s="1"/>
      <c r="H34" s="1" t="s">
        <v>145</v>
      </c>
      <c r="I34" s="1"/>
      <c r="J34" s="1"/>
      <c r="K34" s="1"/>
      <c r="L34" s="1"/>
    </row>
    <row r="35" spans="2:19" ht="14.65" thickBot="1" x14ac:dyDescent="0.5">
      <c r="B35" s="111" t="s">
        <v>0</v>
      </c>
      <c r="C35" s="111" t="s">
        <v>49</v>
      </c>
      <c r="D35" s="111" t="s">
        <v>34</v>
      </c>
      <c r="E35" s="111" t="s">
        <v>50</v>
      </c>
      <c r="F35" s="111" t="s">
        <v>36</v>
      </c>
      <c r="G35" s="1"/>
      <c r="H35" s="111" t="s">
        <v>0</v>
      </c>
      <c r="I35" s="111" t="s">
        <v>49</v>
      </c>
      <c r="J35" s="111" t="s">
        <v>34</v>
      </c>
      <c r="K35" s="111" t="s">
        <v>50</v>
      </c>
      <c r="L35" s="111" t="s">
        <v>36</v>
      </c>
    </row>
    <row r="36" spans="2:19" x14ac:dyDescent="0.45">
      <c r="B36" s="38">
        <v>1</v>
      </c>
      <c r="C36" s="39" t="s">
        <v>112</v>
      </c>
      <c r="D36" s="36">
        <v>1</v>
      </c>
      <c r="E36" s="36" t="s">
        <v>113</v>
      </c>
      <c r="F36" s="40">
        <f>D36*'Daftar HPP'!$L$57</f>
        <v>4875.7315789473687</v>
      </c>
      <c r="G36" s="1"/>
      <c r="H36" s="38">
        <v>1</v>
      </c>
      <c r="I36" s="39" t="s">
        <v>112</v>
      </c>
      <c r="J36" s="36">
        <v>1</v>
      </c>
      <c r="K36" s="36" t="s">
        <v>113</v>
      </c>
      <c r="L36" s="40">
        <f>J36*'Daftar HPP'!$L$57</f>
        <v>4875.7315789473687</v>
      </c>
    </row>
    <row r="37" spans="2:19" x14ac:dyDescent="0.45">
      <c r="B37" s="19">
        <v>2</v>
      </c>
      <c r="C37" s="14" t="s">
        <v>21</v>
      </c>
      <c r="D37" s="31">
        <v>40</v>
      </c>
      <c r="E37" s="31" t="s">
        <v>8</v>
      </c>
      <c r="F37" s="20">
        <f>D37*'Daftar HPP'!$F$131</f>
        <v>1730.1435406698565</v>
      </c>
      <c r="G37" s="1"/>
      <c r="H37" s="19">
        <v>2</v>
      </c>
      <c r="I37" s="14" t="s">
        <v>146</v>
      </c>
      <c r="J37" s="31">
        <v>60</v>
      </c>
      <c r="K37" s="31" t="s">
        <v>8</v>
      </c>
      <c r="L37" s="20">
        <f>J37*'Daftar HPP'!$L$134</f>
        <v>2200.4202719406676</v>
      </c>
    </row>
    <row r="38" spans="2:19" x14ac:dyDescent="0.45">
      <c r="B38" s="19">
        <v>3</v>
      </c>
      <c r="C38" s="14" t="s">
        <v>30</v>
      </c>
      <c r="D38" s="31">
        <v>1</v>
      </c>
      <c r="E38" s="31" t="s">
        <v>115</v>
      </c>
      <c r="F38" s="20">
        <f>D38*'Daftar HPP'!$G$38</f>
        <v>810</v>
      </c>
      <c r="G38" s="1"/>
      <c r="H38" s="19">
        <v>3</v>
      </c>
      <c r="I38" s="14" t="s">
        <v>30</v>
      </c>
      <c r="J38" s="31">
        <v>1</v>
      </c>
      <c r="K38" s="31" t="s">
        <v>115</v>
      </c>
      <c r="L38" s="20">
        <f>J38*'Daftar HPP'!$G$38</f>
        <v>810</v>
      </c>
    </row>
    <row r="39" spans="2:19" x14ac:dyDescent="0.45">
      <c r="B39" s="1"/>
      <c r="C39" s="1"/>
      <c r="D39" s="112" t="s">
        <v>53</v>
      </c>
      <c r="E39" s="113"/>
      <c r="F39" s="114">
        <f>SUM(F36:F38)</f>
        <v>7415.8751196172252</v>
      </c>
      <c r="G39" s="1"/>
      <c r="H39" s="1"/>
      <c r="I39" s="1"/>
      <c r="J39" s="112" t="s">
        <v>53</v>
      </c>
      <c r="K39" s="113"/>
      <c r="L39" s="114">
        <f>SUM(L36:L38)</f>
        <v>7886.1518508880363</v>
      </c>
    </row>
    <row r="40" spans="2:19" x14ac:dyDescent="0.45">
      <c r="B40" s="1"/>
      <c r="C40" s="1"/>
      <c r="D40" s="115" t="s">
        <v>116</v>
      </c>
      <c r="E40" s="116"/>
      <c r="F40" s="117">
        <v>13000</v>
      </c>
      <c r="G40" s="1"/>
      <c r="H40" s="1"/>
      <c r="I40" s="1"/>
      <c r="J40" s="115" t="s">
        <v>116</v>
      </c>
      <c r="K40" s="116"/>
      <c r="L40" s="117">
        <v>13000</v>
      </c>
    </row>
    <row r="41" spans="2:19" x14ac:dyDescent="0.45">
      <c r="B41" s="1"/>
      <c r="C41" s="1"/>
      <c r="D41" s="115" t="s">
        <v>119</v>
      </c>
      <c r="E41" s="116"/>
      <c r="F41" s="118">
        <f>F40-F39</f>
        <v>5584.1248803827748</v>
      </c>
      <c r="G41" s="1"/>
      <c r="H41" s="1"/>
      <c r="I41" s="1"/>
      <c r="J41" s="115" t="s">
        <v>119</v>
      </c>
      <c r="K41" s="116"/>
      <c r="L41" s="118">
        <f>L40-L39</f>
        <v>5113.8481491119637</v>
      </c>
    </row>
    <row r="42" spans="2:19" x14ac:dyDescent="0.45">
      <c r="B42" s="1"/>
      <c r="C42" s="1"/>
      <c r="D42" s="1"/>
      <c r="E42" s="1"/>
      <c r="F42" s="1"/>
      <c r="G42" s="1"/>
      <c r="H42" s="1"/>
      <c r="I42" s="1"/>
      <c r="J42" s="46"/>
      <c r="K42" s="46"/>
      <c r="L42" s="130"/>
    </row>
    <row r="43" spans="2:19" x14ac:dyDescent="0.45">
      <c r="B43" s="243" t="s">
        <v>144</v>
      </c>
      <c r="C43" s="243"/>
      <c r="D43" s="243"/>
      <c r="E43" s="243"/>
      <c r="F43" s="243"/>
      <c r="G43" s="243"/>
      <c r="H43" s="243"/>
      <c r="I43" s="243"/>
      <c r="J43" s="243"/>
      <c r="K43" s="243"/>
      <c r="L43" s="243"/>
      <c r="M43" s="243"/>
      <c r="N43" s="243"/>
      <c r="O43" s="243"/>
      <c r="P43" s="243"/>
      <c r="Q43" s="243"/>
      <c r="R43" s="243"/>
    </row>
    <row r="44" spans="2:19" x14ac:dyDescent="0.45">
      <c r="B44" s="1" t="s">
        <v>160</v>
      </c>
      <c r="C44" s="1"/>
      <c r="D44" s="1"/>
      <c r="E44" s="1"/>
      <c r="F44" s="1"/>
      <c r="G44" s="1"/>
      <c r="H44" s="1" t="s">
        <v>163</v>
      </c>
      <c r="I44" s="1"/>
      <c r="J44" s="1"/>
      <c r="K44" s="1"/>
      <c r="L44" s="1"/>
      <c r="N44" s="1" t="s">
        <v>288</v>
      </c>
      <c r="O44" s="1"/>
      <c r="P44" s="1"/>
      <c r="Q44" s="1"/>
      <c r="R44" s="1"/>
      <c r="S44" s="132"/>
    </row>
    <row r="45" spans="2:19" ht="14.65" thickBot="1" x14ac:dyDescent="0.5">
      <c r="B45" s="1" t="s">
        <v>291</v>
      </c>
      <c r="C45" s="1"/>
      <c r="D45" s="1"/>
      <c r="E45" s="1"/>
      <c r="F45" s="1"/>
      <c r="G45" s="1"/>
      <c r="H45" s="1" t="s">
        <v>298</v>
      </c>
      <c r="I45" s="1"/>
      <c r="J45" s="1"/>
      <c r="K45" s="1"/>
      <c r="L45" s="1"/>
      <c r="N45" s="1" t="s">
        <v>299</v>
      </c>
      <c r="O45" s="1"/>
      <c r="P45" s="1"/>
      <c r="Q45" s="1"/>
      <c r="R45" s="1"/>
      <c r="S45" s="132"/>
    </row>
    <row r="46" spans="2:19" ht="14.65" thickBot="1" x14ac:dyDescent="0.5">
      <c r="B46" s="119" t="s">
        <v>0</v>
      </c>
      <c r="C46" s="111" t="s">
        <v>49</v>
      </c>
      <c r="D46" s="111" t="s">
        <v>34</v>
      </c>
      <c r="E46" s="111" t="s">
        <v>50</v>
      </c>
      <c r="F46" s="111" t="s">
        <v>36</v>
      </c>
      <c r="G46" s="1"/>
      <c r="H46" s="119" t="s">
        <v>0</v>
      </c>
      <c r="I46" s="111" t="s">
        <v>49</v>
      </c>
      <c r="J46" s="111" t="s">
        <v>34</v>
      </c>
      <c r="K46" s="111" t="s">
        <v>50</v>
      </c>
      <c r="L46" s="111" t="s">
        <v>36</v>
      </c>
      <c r="N46" s="111" t="s">
        <v>0</v>
      </c>
      <c r="O46" s="111" t="s">
        <v>49</v>
      </c>
      <c r="P46" s="111" t="s">
        <v>34</v>
      </c>
      <c r="Q46" s="111" t="s">
        <v>50</v>
      </c>
      <c r="R46" s="111" t="s">
        <v>36</v>
      </c>
      <c r="S46" s="132"/>
    </row>
    <row r="47" spans="2:19" x14ac:dyDescent="0.45">
      <c r="B47" s="19">
        <v>1</v>
      </c>
      <c r="C47" s="120" t="s">
        <v>112</v>
      </c>
      <c r="D47" s="36">
        <v>1</v>
      </c>
      <c r="E47" s="36" t="s">
        <v>113</v>
      </c>
      <c r="F47" s="40">
        <f>D47*'Daftar HPP'!$L$57</f>
        <v>4875.7315789473687</v>
      </c>
      <c r="G47" s="1"/>
      <c r="H47" s="19">
        <v>1</v>
      </c>
      <c r="I47" s="120" t="s">
        <v>112</v>
      </c>
      <c r="J47" s="36">
        <v>1</v>
      </c>
      <c r="K47" s="36" t="s">
        <v>113</v>
      </c>
      <c r="L47" s="40">
        <f>J47*'Daftar HPP'!$L$57</f>
        <v>4875.7315789473687</v>
      </c>
      <c r="N47" s="19">
        <v>1</v>
      </c>
      <c r="O47" s="39" t="s">
        <v>112</v>
      </c>
      <c r="P47" s="36">
        <v>1</v>
      </c>
      <c r="Q47" s="36" t="s">
        <v>113</v>
      </c>
      <c r="R47" s="40">
        <f>P47*'Daftar HPP'!$L$57</f>
        <v>4875.7315789473687</v>
      </c>
      <c r="S47" s="132"/>
    </row>
    <row r="48" spans="2:19" x14ac:dyDescent="0.45">
      <c r="B48" s="19">
        <v>2</v>
      </c>
      <c r="C48" s="121" t="s">
        <v>114</v>
      </c>
      <c r="D48" s="31">
        <v>1</v>
      </c>
      <c r="E48" s="31" t="s">
        <v>23</v>
      </c>
      <c r="F48" s="20">
        <f>D48*'Daftar HPP'!$G$20</f>
        <v>500</v>
      </c>
      <c r="G48" s="1"/>
      <c r="H48" s="19">
        <v>2</v>
      </c>
      <c r="I48" s="121" t="s">
        <v>20</v>
      </c>
      <c r="J48" s="31">
        <v>40</v>
      </c>
      <c r="K48" s="31" t="s">
        <v>8</v>
      </c>
      <c r="L48" s="20">
        <f>J48*'Daftar HPP'!$F$114</f>
        <v>1874.0829346092503</v>
      </c>
      <c r="N48" s="19">
        <v>2</v>
      </c>
      <c r="O48" s="14" t="s">
        <v>146</v>
      </c>
      <c r="P48" s="31">
        <v>60</v>
      </c>
      <c r="Q48" s="31" t="s">
        <v>8</v>
      </c>
      <c r="R48" s="20">
        <f>P48*'Daftar HPP'!$L$134</f>
        <v>2200.4202719406676</v>
      </c>
      <c r="S48" s="132"/>
    </row>
    <row r="49" spans="2:19" x14ac:dyDescent="0.45">
      <c r="B49" s="19">
        <v>3</v>
      </c>
      <c r="C49" s="14" t="s">
        <v>117</v>
      </c>
      <c r="D49" s="31">
        <v>1</v>
      </c>
      <c r="E49" s="31" t="s">
        <v>118</v>
      </c>
      <c r="F49" s="20">
        <f>D49*'Daftar HPP'!$G$13</f>
        <v>1200</v>
      </c>
      <c r="G49" s="1"/>
      <c r="H49" s="19">
        <v>3</v>
      </c>
      <c r="I49" s="121" t="s">
        <v>117</v>
      </c>
      <c r="J49" s="31">
        <v>1</v>
      </c>
      <c r="K49" s="31" t="s">
        <v>118</v>
      </c>
      <c r="L49" s="20">
        <f>J49*'Daftar HPP'!$G$13</f>
        <v>1200</v>
      </c>
      <c r="N49" s="19">
        <v>3</v>
      </c>
      <c r="O49" s="14" t="s">
        <v>285</v>
      </c>
      <c r="P49" s="31">
        <v>30</v>
      </c>
      <c r="Q49" s="31" t="s">
        <v>8</v>
      </c>
      <c r="R49" s="20">
        <f>P49*'Daftar HPP'!$L$134</f>
        <v>1100.2101359703338</v>
      </c>
      <c r="S49" s="132"/>
    </row>
    <row r="50" spans="2:19" x14ac:dyDescent="0.45">
      <c r="B50" s="19">
        <v>4</v>
      </c>
      <c r="C50" s="14" t="s">
        <v>31</v>
      </c>
      <c r="D50" s="31">
        <v>1</v>
      </c>
      <c r="E50" s="31" t="s">
        <v>115</v>
      </c>
      <c r="F50" s="20">
        <f>D50*'Daftar HPP'!$G$27</f>
        <v>270</v>
      </c>
      <c r="G50" s="1"/>
      <c r="H50" s="19">
        <v>4</v>
      </c>
      <c r="I50" s="121" t="s">
        <v>31</v>
      </c>
      <c r="J50" s="31">
        <v>1</v>
      </c>
      <c r="K50" s="31" t="s">
        <v>115</v>
      </c>
      <c r="L50" s="20">
        <f>J50*'Daftar HPP'!$G$27</f>
        <v>270</v>
      </c>
      <c r="N50" s="19">
        <v>4</v>
      </c>
      <c r="O50" s="14" t="s">
        <v>24</v>
      </c>
      <c r="P50" s="31">
        <v>25</v>
      </c>
      <c r="Q50" s="31" t="s">
        <v>8</v>
      </c>
      <c r="R50" s="16">
        <f>P50*'Daftar HPP'!$G$21</f>
        <v>4062.5</v>
      </c>
      <c r="S50" s="132"/>
    </row>
    <row r="51" spans="2:19" x14ac:dyDescent="0.45">
      <c r="B51" s="19">
        <v>5</v>
      </c>
      <c r="C51" s="121" t="s">
        <v>27</v>
      </c>
      <c r="D51" s="31">
        <v>1</v>
      </c>
      <c r="E51" s="31" t="s">
        <v>115</v>
      </c>
      <c r="F51" s="20">
        <f>D51*'Daftar HPP'!$G$36</f>
        <v>945</v>
      </c>
      <c r="G51" s="1"/>
      <c r="H51" s="19">
        <v>5</v>
      </c>
      <c r="I51" s="121" t="s">
        <v>27</v>
      </c>
      <c r="J51" s="31">
        <v>1</v>
      </c>
      <c r="K51" s="31" t="s">
        <v>115</v>
      </c>
      <c r="L51" s="20">
        <f>J51*'Daftar HPP'!$G$36</f>
        <v>945</v>
      </c>
      <c r="N51" s="19">
        <v>5</v>
      </c>
      <c r="O51" s="14" t="s">
        <v>117</v>
      </c>
      <c r="P51" s="31">
        <v>1</v>
      </c>
      <c r="Q51" s="31" t="s">
        <v>118</v>
      </c>
      <c r="R51" s="20">
        <f>P51*'Daftar HPP'!$G$13</f>
        <v>1200</v>
      </c>
      <c r="S51" s="132"/>
    </row>
    <row r="52" spans="2:19" x14ac:dyDescent="0.45">
      <c r="B52" s="1"/>
      <c r="C52" s="1"/>
      <c r="D52" s="112" t="s">
        <v>53</v>
      </c>
      <c r="E52" s="113"/>
      <c r="F52" s="114">
        <f>SUM(F47:F51)</f>
        <v>7790.7315789473687</v>
      </c>
      <c r="G52" s="1"/>
      <c r="H52" s="1"/>
      <c r="I52" s="1"/>
      <c r="J52" s="112" t="s">
        <v>53</v>
      </c>
      <c r="K52" s="113"/>
      <c r="L52" s="114">
        <f>SUM(L47:L51)</f>
        <v>9164.8145135566192</v>
      </c>
      <c r="N52" s="19">
        <v>6</v>
      </c>
      <c r="O52" s="14" t="s">
        <v>31</v>
      </c>
      <c r="P52" s="31">
        <v>1</v>
      </c>
      <c r="Q52" s="31" t="s">
        <v>115</v>
      </c>
      <c r="R52" s="20">
        <f>P52*'Daftar HPP'!$G$27</f>
        <v>270</v>
      </c>
      <c r="S52" s="132"/>
    </row>
    <row r="53" spans="2:19" x14ac:dyDescent="0.45">
      <c r="B53" s="1"/>
      <c r="C53" s="1"/>
      <c r="D53" s="115" t="s">
        <v>116</v>
      </c>
      <c r="E53" s="116"/>
      <c r="F53" s="117">
        <v>14000</v>
      </c>
      <c r="G53" s="1"/>
      <c r="H53" s="1"/>
      <c r="I53" s="1"/>
      <c r="J53" s="115" t="s">
        <v>116</v>
      </c>
      <c r="K53" s="116"/>
      <c r="L53" s="117">
        <v>17000</v>
      </c>
      <c r="N53" s="19">
        <v>7</v>
      </c>
      <c r="O53" s="121" t="s">
        <v>27</v>
      </c>
      <c r="P53" s="31">
        <v>1</v>
      </c>
      <c r="Q53" s="31" t="s">
        <v>115</v>
      </c>
      <c r="R53" s="20">
        <f>P53*'Daftar HPP'!$G$36</f>
        <v>945</v>
      </c>
      <c r="S53" s="132"/>
    </row>
    <row r="54" spans="2:19" x14ac:dyDescent="0.45">
      <c r="B54" s="1"/>
      <c r="C54" s="1"/>
      <c r="D54" s="115" t="s">
        <v>119</v>
      </c>
      <c r="E54" s="116"/>
      <c r="F54" s="118">
        <f>F53-F52</f>
        <v>6209.2684210526313</v>
      </c>
      <c r="G54" s="1"/>
      <c r="H54" s="1"/>
      <c r="I54" s="1"/>
      <c r="J54" s="115" t="s">
        <v>119</v>
      </c>
      <c r="K54" s="116"/>
      <c r="L54" s="118">
        <f>L53-L52</f>
        <v>7835.1854864433808</v>
      </c>
      <c r="N54" s="1"/>
      <c r="O54" s="1"/>
      <c r="P54" s="112" t="s">
        <v>53</v>
      </c>
      <c r="Q54" s="113"/>
      <c r="R54" s="114">
        <f>SUM(R47:R53)</f>
        <v>14653.86198685837</v>
      </c>
      <c r="S54" s="132"/>
    </row>
    <row r="55" spans="2:19" x14ac:dyDescent="0.4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N55" s="1"/>
      <c r="O55" s="1"/>
      <c r="P55" s="115" t="s">
        <v>116</v>
      </c>
      <c r="Q55" s="116"/>
      <c r="R55" s="117"/>
      <c r="S55" s="132"/>
    </row>
    <row r="56" spans="2:19" x14ac:dyDescent="0.45">
      <c r="B56" s="1" t="s">
        <v>165</v>
      </c>
      <c r="C56" s="1"/>
      <c r="D56" s="1"/>
      <c r="E56" s="1"/>
      <c r="F56" s="1"/>
      <c r="G56" s="1"/>
      <c r="H56" s="1" t="s">
        <v>164</v>
      </c>
      <c r="I56" s="1"/>
      <c r="J56" s="1"/>
      <c r="K56" s="1"/>
      <c r="L56" s="1"/>
      <c r="N56" s="1"/>
      <c r="O56" s="1"/>
      <c r="P56" s="115" t="s">
        <v>119</v>
      </c>
      <c r="Q56" s="116"/>
      <c r="R56" s="118"/>
      <c r="S56" s="132"/>
    </row>
    <row r="57" spans="2:19" ht="14.65" thickBot="1" x14ac:dyDescent="0.5">
      <c r="B57" s="1" t="s">
        <v>292</v>
      </c>
      <c r="C57" s="1"/>
      <c r="D57" s="1"/>
      <c r="E57" s="1"/>
      <c r="F57" s="1"/>
      <c r="G57" s="1"/>
      <c r="H57" s="1" t="s">
        <v>295</v>
      </c>
      <c r="I57" s="1"/>
      <c r="J57" s="1"/>
      <c r="K57" s="1"/>
      <c r="L57" s="1"/>
      <c r="O57" s="1"/>
      <c r="P57" s="1"/>
      <c r="Q57" s="43"/>
      <c r="R57" s="131"/>
      <c r="S57" s="132"/>
    </row>
    <row r="58" spans="2:19" ht="14.65" thickBot="1" x14ac:dyDescent="0.5">
      <c r="B58" s="111" t="s">
        <v>0</v>
      </c>
      <c r="C58" s="111" t="s">
        <v>49</v>
      </c>
      <c r="D58" s="111" t="s">
        <v>34</v>
      </c>
      <c r="E58" s="111" t="s">
        <v>50</v>
      </c>
      <c r="F58" s="111" t="s">
        <v>36</v>
      </c>
      <c r="G58" s="1"/>
      <c r="H58" s="111" t="s">
        <v>0</v>
      </c>
      <c r="I58" s="111" t="s">
        <v>49</v>
      </c>
      <c r="J58" s="111" t="s">
        <v>34</v>
      </c>
      <c r="K58" s="111" t="s">
        <v>50</v>
      </c>
      <c r="L58" s="111" t="s">
        <v>36</v>
      </c>
      <c r="N58" s="1" t="s">
        <v>289</v>
      </c>
      <c r="O58" s="1"/>
      <c r="P58" s="1"/>
      <c r="Q58" s="1"/>
      <c r="R58" s="1"/>
      <c r="S58" s="132"/>
    </row>
    <row r="59" spans="2:19" ht="14.65" thickBot="1" x14ac:dyDescent="0.5">
      <c r="B59" s="19">
        <v>1</v>
      </c>
      <c r="C59" s="39" t="s">
        <v>112</v>
      </c>
      <c r="D59" s="36">
        <v>1</v>
      </c>
      <c r="E59" s="36" t="s">
        <v>113</v>
      </c>
      <c r="F59" s="40">
        <f>D59*'Daftar HPP'!$L$57</f>
        <v>4875.7315789473687</v>
      </c>
      <c r="G59" s="1"/>
      <c r="H59" s="19">
        <v>1</v>
      </c>
      <c r="I59" s="39" t="s">
        <v>112</v>
      </c>
      <c r="J59" s="36">
        <v>1</v>
      </c>
      <c r="K59" s="36" t="s">
        <v>113</v>
      </c>
      <c r="L59" s="40">
        <f>J59*'Daftar HPP'!$L$57</f>
        <v>4875.7315789473687</v>
      </c>
      <c r="N59" s="1" t="s">
        <v>300</v>
      </c>
      <c r="O59" s="1"/>
      <c r="P59" s="1"/>
      <c r="Q59" s="1"/>
      <c r="R59" s="1"/>
      <c r="S59" s="132"/>
    </row>
    <row r="60" spans="2:19" ht="14.65" thickBot="1" x14ac:dyDescent="0.5">
      <c r="B60" s="19">
        <v>2</v>
      </c>
      <c r="C60" s="14" t="s">
        <v>17</v>
      </c>
      <c r="D60" s="31">
        <v>50</v>
      </c>
      <c r="E60" s="31" t="s">
        <v>8</v>
      </c>
      <c r="F60" s="20">
        <f>D60*'Daftar HPP'!$L$122</f>
        <v>1802.6315789473686</v>
      </c>
      <c r="G60" s="1"/>
      <c r="H60" s="19">
        <v>2</v>
      </c>
      <c r="I60" s="14" t="s">
        <v>121</v>
      </c>
      <c r="J60" s="31">
        <v>40</v>
      </c>
      <c r="K60" s="31" t="s">
        <v>8</v>
      </c>
      <c r="L60" s="20">
        <f>J60*'Daftar HPP'!$F$123</f>
        <v>1845.2950558213715</v>
      </c>
      <c r="N60" s="111" t="s">
        <v>0</v>
      </c>
      <c r="O60" s="111" t="s">
        <v>49</v>
      </c>
      <c r="P60" s="111" t="s">
        <v>34</v>
      </c>
      <c r="Q60" s="111" t="s">
        <v>50</v>
      </c>
      <c r="R60" s="111" t="s">
        <v>36</v>
      </c>
      <c r="S60" s="132"/>
    </row>
    <row r="61" spans="2:19" x14ac:dyDescent="0.45">
      <c r="B61" s="19">
        <v>3</v>
      </c>
      <c r="C61" s="14" t="s">
        <v>117</v>
      </c>
      <c r="D61" s="31">
        <v>1</v>
      </c>
      <c r="E61" s="31" t="s">
        <v>118</v>
      </c>
      <c r="F61" s="20">
        <f>D61*'Daftar HPP'!$G$13</f>
        <v>1200</v>
      </c>
      <c r="G61" s="1"/>
      <c r="H61" s="19">
        <v>3</v>
      </c>
      <c r="I61" s="14" t="s">
        <v>117</v>
      </c>
      <c r="J61" s="31">
        <v>1</v>
      </c>
      <c r="K61" s="31" t="s">
        <v>118</v>
      </c>
      <c r="L61" s="20">
        <f>J61*'Daftar HPP'!$G$13</f>
        <v>1200</v>
      </c>
      <c r="N61" s="19">
        <v>1</v>
      </c>
      <c r="O61" s="39" t="s">
        <v>112</v>
      </c>
      <c r="P61" s="36">
        <v>1</v>
      </c>
      <c r="Q61" s="36" t="s">
        <v>113</v>
      </c>
      <c r="R61" s="40">
        <f>P61*'Daftar HPP'!$L$57</f>
        <v>4875.7315789473687</v>
      </c>
      <c r="S61" s="132"/>
    </row>
    <row r="62" spans="2:19" x14ac:dyDescent="0.45">
      <c r="B62" s="19">
        <v>4</v>
      </c>
      <c r="C62" s="14" t="s">
        <v>31</v>
      </c>
      <c r="D62" s="31">
        <v>1</v>
      </c>
      <c r="E62" s="31" t="s">
        <v>115</v>
      </c>
      <c r="F62" s="20">
        <f>D62*'Daftar HPP'!$G$27</f>
        <v>270</v>
      </c>
      <c r="G62" s="1"/>
      <c r="H62" s="19">
        <v>4</v>
      </c>
      <c r="I62" s="14" t="s">
        <v>31</v>
      </c>
      <c r="J62" s="31">
        <v>1</v>
      </c>
      <c r="K62" s="31" t="s">
        <v>115</v>
      </c>
      <c r="L62" s="20">
        <f>J62*'Daftar HPP'!$G$27</f>
        <v>270</v>
      </c>
      <c r="N62" s="19">
        <v>2</v>
      </c>
      <c r="O62" s="14" t="s">
        <v>146</v>
      </c>
      <c r="P62" s="31">
        <v>60</v>
      </c>
      <c r="Q62" s="31" t="s">
        <v>8</v>
      </c>
      <c r="R62" s="20">
        <f>P62*'Daftar HPP'!$L$134</f>
        <v>2200.4202719406676</v>
      </c>
      <c r="S62" s="132"/>
    </row>
    <row r="63" spans="2:19" x14ac:dyDescent="0.45">
      <c r="B63" s="19">
        <v>5</v>
      </c>
      <c r="C63" s="121" t="s">
        <v>27</v>
      </c>
      <c r="D63" s="31">
        <v>1</v>
      </c>
      <c r="E63" s="31" t="s">
        <v>115</v>
      </c>
      <c r="F63" s="20">
        <f>D63*'Daftar HPP'!$G$36</f>
        <v>945</v>
      </c>
      <c r="G63" s="1"/>
      <c r="H63" s="19">
        <v>5</v>
      </c>
      <c r="I63" s="121" t="s">
        <v>27</v>
      </c>
      <c r="J63" s="31">
        <v>1</v>
      </c>
      <c r="K63" s="31" t="s">
        <v>115</v>
      </c>
      <c r="L63" s="20">
        <f>J63*'Daftar HPP'!$G$36</f>
        <v>945</v>
      </c>
      <c r="N63" s="19">
        <v>3</v>
      </c>
      <c r="O63" s="14" t="s">
        <v>285</v>
      </c>
      <c r="P63" s="31">
        <v>30</v>
      </c>
      <c r="Q63" s="31" t="s">
        <v>8</v>
      </c>
      <c r="R63" s="20">
        <f>P63*'Daftar HPP'!$L$134</f>
        <v>1100.2101359703338</v>
      </c>
      <c r="S63" s="132"/>
    </row>
    <row r="64" spans="2:19" x14ac:dyDescent="0.45">
      <c r="B64" s="1"/>
      <c r="C64" s="1"/>
      <c r="D64" s="112" t="s">
        <v>53</v>
      </c>
      <c r="E64" s="113"/>
      <c r="F64" s="114">
        <f>SUM(F59:F63)</f>
        <v>9093.363157894737</v>
      </c>
      <c r="G64" s="1"/>
      <c r="H64" s="1"/>
      <c r="I64" s="1"/>
      <c r="J64" s="112" t="s">
        <v>53</v>
      </c>
      <c r="K64" s="113"/>
      <c r="L64" s="114">
        <f>SUM(L59:L63)</f>
        <v>9136.0266347687393</v>
      </c>
      <c r="N64" s="19">
        <v>4</v>
      </c>
      <c r="O64" s="14" t="s">
        <v>24</v>
      </c>
      <c r="P64" s="31">
        <v>25</v>
      </c>
      <c r="Q64" s="31" t="s">
        <v>8</v>
      </c>
      <c r="R64" s="16">
        <f>P64*'Daftar HPP'!$G$21</f>
        <v>4062.5</v>
      </c>
      <c r="S64" s="132"/>
    </row>
    <row r="65" spans="2:23" x14ac:dyDescent="0.45">
      <c r="B65" s="1"/>
      <c r="C65" s="1"/>
      <c r="D65" s="115" t="s">
        <v>116</v>
      </c>
      <c r="E65" s="116"/>
      <c r="F65" s="117">
        <v>17000</v>
      </c>
      <c r="G65" s="1"/>
      <c r="H65" s="1"/>
      <c r="I65" s="1"/>
      <c r="J65" s="115" t="s">
        <v>116</v>
      </c>
      <c r="K65" s="116"/>
      <c r="L65" s="117">
        <v>17000</v>
      </c>
      <c r="N65" s="19">
        <v>5</v>
      </c>
      <c r="O65" s="14" t="s">
        <v>117</v>
      </c>
      <c r="P65" s="31">
        <v>1</v>
      </c>
      <c r="Q65" s="31" t="s">
        <v>118</v>
      </c>
      <c r="R65" s="20">
        <f>P65*'Daftar HPP'!$G$13</f>
        <v>1200</v>
      </c>
      <c r="S65" s="132"/>
      <c r="W65" t="s">
        <v>301</v>
      </c>
    </row>
    <row r="66" spans="2:23" x14ac:dyDescent="0.45">
      <c r="B66" s="1"/>
      <c r="C66" s="1"/>
      <c r="D66" s="115" t="s">
        <v>119</v>
      </c>
      <c r="E66" s="116"/>
      <c r="F66" s="118">
        <f>F65-F64</f>
        <v>7906.636842105263</v>
      </c>
      <c r="G66" s="1"/>
      <c r="H66" s="1"/>
      <c r="I66" s="1"/>
      <c r="J66" s="115" t="s">
        <v>119</v>
      </c>
      <c r="K66" s="116"/>
      <c r="L66" s="118">
        <f>L65-L64</f>
        <v>7863.9733652312607</v>
      </c>
      <c r="N66" s="19">
        <v>6</v>
      </c>
      <c r="O66" s="14" t="s">
        <v>25</v>
      </c>
      <c r="P66" s="31">
        <v>30</v>
      </c>
      <c r="Q66" s="31" t="s">
        <v>8</v>
      </c>
      <c r="R66" s="20">
        <f>P66*'Daftar HPP'!$G$22</f>
        <v>1995</v>
      </c>
      <c r="S66" s="132"/>
    </row>
    <row r="67" spans="2:23" x14ac:dyDescent="0.4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N67" s="19">
        <v>7</v>
      </c>
      <c r="O67" s="121" t="s">
        <v>27</v>
      </c>
      <c r="P67" s="31">
        <v>1</v>
      </c>
      <c r="Q67" s="31" t="s">
        <v>115</v>
      </c>
      <c r="R67" s="20">
        <f>P67*'Daftar HPP'!$G$36</f>
        <v>945</v>
      </c>
      <c r="S67" s="132"/>
    </row>
    <row r="68" spans="2:23" x14ac:dyDescent="0.45">
      <c r="B68" s="1" t="s">
        <v>161</v>
      </c>
      <c r="C68" s="1"/>
      <c r="D68" s="1"/>
      <c r="E68" s="1"/>
      <c r="F68" s="1"/>
      <c r="G68" s="1"/>
      <c r="H68" s="1" t="s">
        <v>158</v>
      </c>
      <c r="I68" s="1"/>
      <c r="J68" s="1"/>
      <c r="K68" s="1"/>
      <c r="L68" s="1"/>
      <c r="N68" s="1"/>
      <c r="O68" s="1"/>
      <c r="P68" s="112" t="s">
        <v>53</v>
      </c>
      <c r="Q68" s="113"/>
      <c r="R68" s="114">
        <f>SUM(R61:R67)</f>
        <v>16378.86198685837</v>
      </c>
      <c r="S68" s="132"/>
    </row>
    <row r="69" spans="2:23" ht="14.65" thickBot="1" x14ac:dyDescent="0.5">
      <c r="B69" s="1" t="s">
        <v>293</v>
      </c>
      <c r="C69" s="1"/>
      <c r="D69" s="1"/>
      <c r="E69" s="1"/>
      <c r="F69" s="1"/>
      <c r="G69" s="1"/>
      <c r="H69" s="1" t="s">
        <v>296</v>
      </c>
      <c r="I69" s="1"/>
      <c r="J69" s="1"/>
      <c r="K69" s="1"/>
      <c r="L69" s="1"/>
      <c r="N69" s="1"/>
      <c r="O69" s="1"/>
      <c r="P69" s="115" t="s">
        <v>116</v>
      </c>
      <c r="Q69" s="116"/>
      <c r="R69" s="117"/>
      <c r="S69" s="132"/>
    </row>
    <row r="70" spans="2:23" ht="14.65" thickBot="1" x14ac:dyDescent="0.5">
      <c r="B70" s="111" t="s">
        <v>0</v>
      </c>
      <c r="C70" s="111" t="s">
        <v>49</v>
      </c>
      <c r="D70" s="111" t="s">
        <v>34</v>
      </c>
      <c r="E70" s="111" t="s">
        <v>50</v>
      </c>
      <c r="F70" s="111" t="s">
        <v>36</v>
      </c>
      <c r="G70" s="1"/>
      <c r="H70" s="111" t="s">
        <v>0</v>
      </c>
      <c r="I70" s="111" t="s">
        <v>49</v>
      </c>
      <c r="J70" s="111" t="s">
        <v>34</v>
      </c>
      <c r="K70" s="111" t="s">
        <v>50</v>
      </c>
      <c r="L70" s="111" t="s">
        <v>36</v>
      </c>
      <c r="N70" s="1"/>
      <c r="O70" s="1"/>
      <c r="P70" s="115" t="s">
        <v>119</v>
      </c>
      <c r="Q70" s="116"/>
      <c r="R70" s="118"/>
      <c r="S70" s="132"/>
    </row>
    <row r="71" spans="2:23" x14ac:dyDescent="0.45">
      <c r="B71" s="19">
        <v>1</v>
      </c>
      <c r="C71" s="39" t="s">
        <v>112</v>
      </c>
      <c r="D71" s="36">
        <v>1</v>
      </c>
      <c r="E71" s="36" t="s">
        <v>113</v>
      </c>
      <c r="F71" s="40">
        <f>D71*'Daftar HPP'!$L$57</f>
        <v>4875.7315789473687</v>
      </c>
      <c r="G71" s="1"/>
      <c r="H71" s="19">
        <v>1</v>
      </c>
      <c r="I71" s="39" t="s">
        <v>112</v>
      </c>
      <c r="J71" s="36">
        <v>1</v>
      </c>
      <c r="K71" s="36" t="s">
        <v>113</v>
      </c>
      <c r="L71" s="40">
        <f>J71*'Daftar HPP'!$L$57</f>
        <v>4875.7315789473687</v>
      </c>
      <c r="O71" s="1"/>
      <c r="P71" s="1"/>
      <c r="Q71" s="43"/>
      <c r="R71" s="131"/>
      <c r="S71" s="132"/>
    </row>
    <row r="72" spans="2:23" x14ac:dyDescent="0.45">
      <c r="B72" s="19">
        <v>2</v>
      </c>
      <c r="C72" s="14" t="s">
        <v>19</v>
      </c>
      <c r="D72" s="31">
        <v>40</v>
      </c>
      <c r="E72" s="31" t="s">
        <v>8</v>
      </c>
      <c r="F72" s="20">
        <f>D72*'Daftar HPP'!$L$114</f>
        <v>1787.719298245614</v>
      </c>
      <c r="G72" s="2"/>
      <c r="H72" s="19">
        <v>2</v>
      </c>
      <c r="I72" s="14" t="s">
        <v>25</v>
      </c>
      <c r="J72" s="31">
        <v>40</v>
      </c>
      <c r="K72" s="31" t="s">
        <v>8</v>
      </c>
      <c r="L72" s="20">
        <f>J72*'Daftar HPP'!$G$22</f>
        <v>2660</v>
      </c>
      <c r="O72" s="1"/>
      <c r="P72" s="1"/>
      <c r="Q72" s="43"/>
      <c r="R72" s="131"/>
      <c r="S72" s="132"/>
    </row>
    <row r="73" spans="2:23" x14ac:dyDescent="0.45">
      <c r="B73" s="19">
        <v>3</v>
      </c>
      <c r="C73" s="14" t="s">
        <v>117</v>
      </c>
      <c r="D73" s="31">
        <v>1</v>
      </c>
      <c r="E73" s="31" t="s">
        <v>118</v>
      </c>
      <c r="F73" s="20">
        <f>D73*'Daftar HPP'!$G$13</f>
        <v>1200</v>
      </c>
      <c r="G73" s="2"/>
      <c r="H73" s="19">
        <v>3</v>
      </c>
      <c r="I73" s="14" t="s">
        <v>117</v>
      </c>
      <c r="J73" s="31">
        <v>1</v>
      </c>
      <c r="K73" s="31" t="s">
        <v>118</v>
      </c>
      <c r="L73" s="20">
        <f>J73*'Daftar HPP'!$G$13</f>
        <v>1200</v>
      </c>
      <c r="O73" s="1"/>
      <c r="P73" s="1"/>
      <c r="Q73" s="43"/>
      <c r="R73" s="131"/>
      <c r="S73" s="132"/>
    </row>
    <row r="74" spans="2:23" x14ac:dyDescent="0.45">
      <c r="B74" s="19">
        <v>4</v>
      </c>
      <c r="C74" s="14" t="s">
        <v>31</v>
      </c>
      <c r="D74" s="31">
        <v>1</v>
      </c>
      <c r="E74" s="31" t="s">
        <v>115</v>
      </c>
      <c r="F74" s="20">
        <f>D74*'Daftar HPP'!$G$27</f>
        <v>270</v>
      </c>
      <c r="G74" s="2"/>
      <c r="H74" s="19">
        <v>4</v>
      </c>
      <c r="I74" s="14" t="s">
        <v>31</v>
      </c>
      <c r="J74" s="31">
        <v>1</v>
      </c>
      <c r="K74" s="31" t="s">
        <v>115</v>
      </c>
      <c r="L74" s="20">
        <f>J74*'Daftar HPP'!$G$27</f>
        <v>270</v>
      </c>
      <c r="O74" s="1"/>
      <c r="P74" s="1"/>
      <c r="Q74" s="43"/>
      <c r="R74" s="131"/>
      <c r="S74" s="132"/>
    </row>
    <row r="75" spans="2:23" x14ac:dyDescent="0.45">
      <c r="B75" s="19">
        <v>5</v>
      </c>
      <c r="C75" s="121" t="s">
        <v>27</v>
      </c>
      <c r="D75" s="31">
        <v>1</v>
      </c>
      <c r="E75" s="31" t="s">
        <v>115</v>
      </c>
      <c r="F75" s="20">
        <f>D75*'Daftar HPP'!$G$36</f>
        <v>945</v>
      </c>
      <c r="G75" s="1"/>
      <c r="H75" s="19">
        <v>5</v>
      </c>
      <c r="I75" s="121" t="s">
        <v>27</v>
      </c>
      <c r="J75" s="31">
        <v>1</v>
      </c>
      <c r="K75" s="31" t="s">
        <v>115</v>
      </c>
      <c r="L75" s="20">
        <f>J75*'Daftar HPP'!$G$36</f>
        <v>945</v>
      </c>
      <c r="O75" s="1"/>
      <c r="P75" s="1"/>
      <c r="Q75" s="43"/>
      <c r="R75" s="131"/>
      <c r="S75" s="132"/>
    </row>
    <row r="76" spans="2:23" x14ac:dyDescent="0.45">
      <c r="B76" s="1"/>
      <c r="C76" s="1"/>
      <c r="D76" s="112" t="s">
        <v>53</v>
      </c>
      <c r="E76" s="113"/>
      <c r="F76" s="114">
        <f>SUM(F71:F75)</f>
        <v>9078.4508771929832</v>
      </c>
      <c r="G76" s="1"/>
      <c r="H76" s="1"/>
      <c r="I76" s="1"/>
      <c r="J76" s="112" t="s">
        <v>53</v>
      </c>
      <c r="K76" s="113"/>
      <c r="L76" s="114">
        <f>SUM(L71:L75)</f>
        <v>9950.7315789473687</v>
      </c>
      <c r="O76" s="1"/>
      <c r="P76" s="1"/>
      <c r="Q76" s="43"/>
      <c r="R76" s="131"/>
      <c r="S76" s="132"/>
    </row>
    <row r="77" spans="2:23" x14ac:dyDescent="0.45">
      <c r="B77" s="1"/>
      <c r="C77" s="1"/>
      <c r="D77" s="115" t="s">
        <v>116</v>
      </c>
      <c r="E77" s="116"/>
      <c r="F77" s="117">
        <v>17000</v>
      </c>
      <c r="G77" s="1"/>
      <c r="H77" s="1"/>
      <c r="I77" s="1"/>
      <c r="J77" s="115" t="s">
        <v>116</v>
      </c>
      <c r="K77" s="116"/>
      <c r="L77" s="117">
        <v>17000</v>
      </c>
      <c r="O77" s="1"/>
      <c r="P77" s="1"/>
      <c r="Q77" s="43"/>
      <c r="R77" s="131"/>
      <c r="S77" s="132"/>
    </row>
    <row r="78" spans="2:23" x14ac:dyDescent="0.45">
      <c r="B78" s="1"/>
      <c r="C78" s="1"/>
      <c r="D78" s="115" t="s">
        <v>119</v>
      </c>
      <c r="E78" s="116"/>
      <c r="F78" s="118">
        <f>F77-F76</f>
        <v>7921.5491228070168</v>
      </c>
      <c r="G78" s="1"/>
      <c r="H78" s="1"/>
      <c r="I78" s="1"/>
      <c r="J78" s="115" t="s">
        <v>119</v>
      </c>
      <c r="K78" s="116"/>
      <c r="L78" s="118">
        <f>L77-L76</f>
        <v>7049.2684210526313</v>
      </c>
      <c r="O78" s="1"/>
      <c r="P78" s="1"/>
      <c r="Q78" s="43"/>
      <c r="R78" s="131"/>
      <c r="S78" s="132"/>
    </row>
    <row r="79" spans="2:23" x14ac:dyDescent="0.45">
      <c r="B79" s="1"/>
      <c r="C79" s="1"/>
      <c r="D79" s="1"/>
      <c r="E79" s="1"/>
      <c r="F79" s="1"/>
      <c r="G79" s="1"/>
      <c r="O79" s="1"/>
      <c r="P79" s="1"/>
      <c r="Q79" s="43"/>
      <c r="R79" s="131"/>
      <c r="S79" s="132"/>
    </row>
    <row r="80" spans="2:23" x14ac:dyDescent="0.45">
      <c r="B80" s="1" t="s">
        <v>162</v>
      </c>
      <c r="C80" s="1"/>
      <c r="D80" s="1"/>
      <c r="E80" s="1"/>
      <c r="F80" s="1"/>
      <c r="G80" s="1"/>
      <c r="H80" s="1" t="s">
        <v>159</v>
      </c>
      <c r="I80" s="1"/>
      <c r="J80" s="1"/>
      <c r="K80" s="1"/>
      <c r="L80" s="1"/>
      <c r="O80" s="1"/>
      <c r="P80" s="1"/>
      <c r="Q80" s="43"/>
      <c r="R80" s="131"/>
      <c r="S80" s="132"/>
    </row>
    <row r="81" spans="2:19" ht="14.65" thickBot="1" x14ac:dyDescent="0.5">
      <c r="B81" s="1" t="s">
        <v>294</v>
      </c>
      <c r="C81" s="1"/>
      <c r="D81" s="1"/>
      <c r="E81" s="1"/>
      <c r="F81" s="1"/>
      <c r="G81" s="1"/>
      <c r="H81" s="1" t="s">
        <v>297</v>
      </c>
      <c r="I81" s="1"/>
      <c r="J81" s="1"/>
      <c r="K81" s="1"/>
      <c r="L81" s="1"/>
      <c r="O81" s="1"/>
      <c r="P81" s="1"/>
      <c r="Q81" s="43"/>
      <c r="R81" s="131"/>
      <c r="S81" s="132"/>
    </row>
    <row r="82" spans="2:19" ht="14.65" thickBot="1" x14ac:dyDescent="0.5">
      <c r="B82" s="111" t="s">
        <v>0</v>
      </c>
      <c r="C82" s="111" t="s">
        <v>49</v>
      </c>
      <c r="D82" s="111" t="s">
        <v>34</v>
      </c>
      <c r="E82" s="111" t="s">
        <v>50</v>
      </c>
      <c r="F82" s="111" t="s">
        <v>36</v>
      </c>
      <c r="G82" s="1"/>
      <c r="H82" s="111" t="s">
        <v>0</v>
      </c>
      <c r="I82" s="111" t="s">
        <v>49</v>
      </c>
      <c r="J82" s="111" t="s">
        <v>34</v>
      </c>
      <c r="K82" s="111" t="s">
        <v>50</v>
      </c>
      <c r="L82" s="111" t="s">
        <v>36</v>
      </c>
      <c r="O82" s="1"/>
      <c r="P82" s="1"/>
      <c r="Q82" s="43"/>
      <c r="R82" s="131"/>
      <c r="S82" s="132"/>
    </row>
    <row r="83" spans="2:19" x14ac:dyDescent="0.45">
      <c r="B83" s="19">
        <v>1</v>
      </c>
      <c r="C83" s="39" t="s">
        <v>112</v>
      </c>
      <c r="D83" s="36">
        <v>1</v>
      </c>
      <c r="E83" s="36" t="s">
        <v>113</v>
      </c>
      <c r="F83" s="40">
        <f>D83*'Daftar HPP'!$L$57</f>
        <v>4875.7315789473687</v>
      </c>
      <c r="G83" s="1"/>
      <c r="H83" s="19">
        <v>1</v>
      </c>
      <c r="I83" s="39" t="s">
        <v>112</v>
      </c>
      <c r="J83" s="36">
        <v>1</v>
      </c>
      <c r="K83" s="36" t="s">
        <v>113</v>
      </c>
      <c r="L83" s="40">
        <f>J83*'Daftar HPP'!$L$57</f>
        <v>4875.7315789473687</v>
      </c>
      <c r="O83" s="1"/>
      <c r="P83" s="1"/>
      <c r="Q83" s="43"/>
      <c r="R83" s="131"/>
      <c r="S83" s="132"/>
    </row>
    <row r="84" spans="2:19" x14ac:dyDescent="0.45">
      <c r="B84" s="19">
        <v>2</v>
      </c>
      <c r="C84" s="14" t="s">
        <v>21</v>
      </c>
      <c r="D84" s="31">
        <v>40</v>
      </c>
      <c r="E84" s="31" t="s">
        <v>8</v>
      </c>
      <c r="F84" s="20">
        <f>D84*'Daftar HPP'!$F$131</f>
        <v>1730.1435406698565</v>
      </c>
      <c r="G84" s="1"/>
      <c r="H84" s="19">
        <v>2</v>
      </c>
      <c r="I84" s="14" t="s">
        <v>146</v>
      </c>
      <c r="J84" s="31">
        <v>60</v>
      </c>
      <c r="K84" s="31" t="s">
        <v>8</v>
      </c>
      <c r="L84" s="20">
        <f>J84*'Daftar HPP'!$L$134</f>
        <v>2200.4202719406676</v>
      </c>
      <c r="O84" s="1"/>
      <c r="P84" s="1"/>
      <c r="Q84" s="43"/>
      <c r="R84" s="131"/>
      <c r="S84" s="132"/>
    </row>
    <row r="85" spans="2:19" x14ac:dyDescent="0.45">
      <c r="B85" s="19">
        <v>3</v>
      </c>
      <c r="C85" s="14" t="s">
        <v>117</v>
      </c>
      <c r="D85" s="31">
        <v>1</v>
      </c>
      <c r="E85" s="31" t="s">
        <v>118</v>
      </c>
      <c r="F85" s="20">
        <f>D85*'Daftar HPP'!$G$13</f>
        <v>1200</v>
      </c>
      <c r="G85" s="1"/>
      <c r="H85" s="19">
        <v>3</v>
      </c>
      <c r="I85" s="14" t="s">
        <v>117</v>
      </c>
      <c r="J85" s="31">
        <v>1</v>
      </c>
      <c r="K85" s="31" t="s">
        <v>118</v>
      </c>
      <c r="L85" s="20">
        <f>J85*'Daftar HPP'!$G$13</f>
        <v>1200</v>
      </c>
      <c r="O85" s="1"/>
      <c r="P85" s="1"/>
      <c r="Q85" s="43"/>
      <c r="R85" s="131"/>
      <c r="S85" s="132"/>
    </row>
    <row r="86" spans="2:19" x14ac:dyDescent="0.45">
      <c r="B86" s="19">
        <v>4</v>
      </c>
      <c r="C86" s="14" t="s">
        <v>31</v>
      </c>
      <c r="D86" s="31">
        <v>1</v>
      </c>
      <c r="E86" s="31" t="s">
        <v>115</v>
      </c>
      <c r="F86" s="20">
        <f>D86*'Daftar HPP'!$G$27</f>
        <v>270</v>
      </c>
      <c r="G86" s="1"/>
      <c r="H86" s="19">
        <v>4</v>
      </c>
      <c r="I86" s="14" t="s">
        <v>31</v>
      </c>
      <c r="J86" s="31">
        <v>1</v>
      </c>
      <c r="K86" s="31" t="s">
        <v>115</v>
      </c>
      <c r="L86" s="20">
        <f>J86*'Daftar HPP'!$G$27</f>
        <v>270</v>
      </c>
      <c r="O86" s="1"/>
      <c r="P86" s="1"/>
      <c r="Q86" s="43"/>
      <c r="R86" s="131"/>
      <c r="S86" s="132"/>
    </row>
    <row r="87" spans="2:19" x14ac:dyDescent="0.45">
      <c r="B87" s="19">
        <v>5</v>
      </c>
      <c r="C87" s="121" t="s">
        <v>27</v>
      </c>
      <c r="D87" s="31">
        <v>1</v>
      </c>
      <c r="E87" s="31" t="s">
        <v>115</v>
      </c>
      <c r="F87" s="20">
        <f>D87*'Daftar HPP'!$G$36</f>
        <v>945</v>
      </c>
      <c r="G87" s="1"/>
      <c r="H87" s="19">
        <v>5</v>
      </c>
      <c r="I87" s="121" t="s">
        <v>27</v>
      </c>
      <c r="J87" s="31">
        <v>1</v>
      </c>
      <c r="K87" s="31" t="s">
        <v>115</v>
      </c>
      <c r="L87" s="20">
        <f>J87*'Daftar HPP'!$G$36</f>
        <v>945</v>
      </c>
      <c r="O87" s="1"/>
      <c r="P87" s="1"/>
      <c r="Q87" s="43"/>
      <c r="R87" s="131"/>
      <c r="S87" s="132"/>
    </row>
    <row r="88" spans="2:19" x14ac:dyDescent="0.45">
      <c r="B88" s="1"/>
      <c r="C88" s="1"/>
      <c r="D88" s="112" t="s">
        <v>53</v>
      </c>
      <c r="E88" s="113"/>
      <c r="F88" s="114">
        <f>SUM(F83:F87)</f>
        <v>9020.8751196172252</v>
      </c>
      <c r="G88" s="1"/>
      <c r="H88" s="1"/>
      <c r="I88" s="1"/>
      <c r="J88" s="112" t="s">
        <v>53</v>
      </c>
      <c r="K88" s="113"/>
      <c r="L88" s="114">
        <f>SUM(L83:L87)</f>
        <v>9491.1518508880363</v>
      </c>
      <c r="O88" s="1"/>
      <c r="P88" s="1"/>
      <c r="Q88" s="43"/>
      <c r="R88" s="131"/>
      <c r="S88" s="132"/>
    </row>
    <row r="89" spans="2:19" x14ac:dyDescent="0.45">
      <c r="B89" s="1"/>
      <c r="C89" s="1"/>
      <c r="D89" s="115" t="s">
        <v>116</v>
      </c>
      <c r="E89" s="116"/>
      <c r="F89" s="117">
        <v>17000</v>
      </c>
      <c r="G89" s="1"/>
      <c r="H89" s="1"/>
      <c r="I89" s="1"/>
      <c r="J89" s="115" t="s">
        <v>116</v>
      </c>
      <c r="K89" s="116"/>
      <c r="L89" s="117">
        <v>17000</v>
      </c>
      <c r="O89" s="1"/>
      <c r="P89" s="1"/>
      <c r="Q89" s="43"/>
      <c r="R89" s="131"/>
      <c r="S89" s="132"/>
    </row>
    <row r="90" spans="2:19" x14ac:dyDescent="0.45">
      <c r="B90" s="1"/>
      <c r="C90" s="1"/>
      <c r="D90" s="115" t="s">
        <v>119</v>
      </c>
      <c r="E90" s="116"/>
      <c r="F90" s="118">
        <f>F89-F88</f>
        <v>7979.1248803827748</v>
      </c>
      <c r="G90" s="1"/>
      <c r="H90" s="1"/>
      <c r="I90" s="1"/>
      <c r="J90" s="115" t="s">
        <v>119</v>
      </c>
      <c r="K90" s="116"/>
      <c r="L90" s="118">
        <f>L89-L88</f>
        <v>7508.8481491119637</v>
      </c>
      <c r="O90" s="1"/>
      <c r="P90" s="1"/>
      <c r="Q90" s="43"/>
      <c r="R90" s="131"/>
      <c r="S90" s="132"/>
    </row>
    <row r="91" spans="2:19" x14ac:dyDescent="0.45">
      <c r="O91" s="1"/>
      <c r="P91" s="1"/>
      <c r="Q91" s="43"/>
      <c r="R91" s="131"/>
      <c r="S91" s="132"/>
    </row>
    <row r="92" spans="2:19" x14ac:dyDescent="0.45">
      <c r="B92" s="243" t="s">
        <v>123</v>
      </c>
      <c r="C92" s="243"/>
      <c r="D92" s="243"/>
      <c r="E92" s="243"/>
      <c r="F92" s="243"/>
      <c r="G92" s="243"/>
      <c r="H92" s="243"/>
      <c r="I92" s="243"/>
      <c r="J92" s="243"/>
      <c r="K92" s="243"/>
      <c r="O92" s="1"/>
      <c r="P92" s="1"/>
      <c r="Q92" s="46"/>
      <c r="R92" s="46"/>
      <c r="S92" s="133"/>
    </row>
    <row r="93" spans="2:19" x14ac:dyDescent="0.45">
      <c r="B93" s="1"/>
      <c r="C93" s="1"/>
      <c r="D93" s="1"/>
      <c r="E93" s="1"/>
      <c r="F93" s="1"/>
      <c r="G93" s="1"/>
      <c r="H93" s="1"/>
      <c r="I93" s="1"/>
      <c r="J93" s="1"/>
      <c r="K93" s="1"/>
      <c r="O93" s="1"/>
      <c r="P93" s="1"/>
      <c r="Q93" s="46"/>
      <c r="R93" s="46"/>
      <c r="S93" s="130"/>
    </row>
    <row r="94" spans="2:19" x14ac:dyDescent="0.45">
      <c r="B94" s="2" t="s">
        <v>124</v>
      </c>
      <c r="C94" s="1"/>
      <c r="D94" s="1"/>
      <c r="E94" s="1"/>
      <c r="F94" s="1"/>
      <c r="G94" s="1"/>
      <c r="H94" s="1"/>
      <c r="I94" s="1"/>
      <c r="J94" s="1"/>
      <c r="K94" s="1"/>
    </row>
    <row r="95" spans="2:19" x14ac:dyDescent="0.45">
      <c r="B95" s="122" t="s">
        <v>0</v>
      </c>
      <c r="C95" s="244" t="s">
        <v>125</v>
      </c>
      <c r="D95" s="244"/>
      <c r="E95" s="244"/>
      <c r="F95" s="122" t="s">
        <v>34</v>
      </c>
      <c r="G95" s="122" t="s">
        <v>50</v>
      </c>
      <c r="H95" s="123" t="s">
        <v>126</v>
      </c>
      <c r="I95" s="124" t="s">
        <v>119</v>
      </c>
      <c r="J95" s="137" t="s">
        <v>127</v>
      </c>
      <c r="K95" s="198"/>
    </row>
    <row r="96" spans="2:19" x14ac:dyDescent="0.45">
      <c r="B96" s="199">
        <v>1</v>
      </c>
      <c r="C96" s="242" t="s">
        <v>128</v>
      </c>
      <c r="D96" s="242"/>
      <c r="E96" s="242"/>
      <c r="F96" s="69">
        <v>1</v>
      </c>
      <c r="G96" s="24" t="s">
        <v>118</v>
      </c>
      <c r="H96" s="125">
        <f>F96*F9</f>
        <v>5763.7315789473687</v>
      </c>
      <c r="I96" s="20">
        <f t="shared" ref="I96:I103" si="0">J96-H96</f>
        <v>4236.2684210526313</v>
      </c>
      <c r="J96" s="20">
        <f>F96*F10</f>
        <v>10000</v>
      </c>
      <c r="K96" s="125"/>
    </row>
    <row r="97" spans="2:11" x14ac:dyDescent="0.45">
      <c r="B97" s="200">
        <v>2</v>
      </c>
      <c r="C97" s="242" t="s">
        <v>129</v>
      </c>
      <c r="D97" s="242"/>
      <c r="E97" s="242"/>
      <c r="F97" s="201">
        <v>1</v>
      </c>
      <c r="G97" s="31" t="s">
        <v>118</v>
      </c>
      <c r="H97" s="126">
        <f>F97*F19</f>
        <v>7488.363157894737</v>
      </c>
      <c r="I97" s="20">
        <f t="shared" si="0"/>
        <v>5511.636842105263</v>
      </c>
      <c r="J97" s="20">
        <f>F97*F20</f>
        <v>13000</v>
      </c>
      <c r="K97" s="125"/>
    </row>
    <row r="98" spans="2:11" x14ac:dyDescent="0.45">
      <c r="B98" s="199">
        <v>3</v>
      </c>
      <c r="C98" s="242" t="s">
        <v>130</v>
      </c>
      <c r="D98" s="242"/>
      <c r="E98" s="242"/>
      <c r="F98" s="201">
        <v>1</v>
      </c>
      <c r="G98" s="31" t="s">
        <v>118</v>
      </c>
      <c r="H98" s="126">
        <f>F98*F29</f>
        <v>7473.4508771929832</v>
      </c>
      <c r="I98" s="20">
        <f t="shared" si="0"/>
        <v>5526.5491228070168</v>
      </c>
      <c r="J98" s="20">
        <f>F98*F30</f>
        <v>13000</v>
      </c>
      <c r="K98" s="125"/>
    </row>
    <row r="99" spans="2:11" x14ac:dyDescent="0.45">
      <c r="B99" s="200">
        <v>4</v>
      </c>
      <c r="C99" s="242" t="s">
        <v>131</v>
      </c>
      <c r="D99" s="242"/>
      <c r="E99" s="242"/>
      <c r="F99" s="201">
        <v>1</v>
      </c>
      <c r="G99" s="31" t="s">
        <v>118</v>
      </c>
      <c r="H99" s="126">
        <f>F99*F39</f>
        <v>7415.8751196172252</v>
      </c>
      <c r="I99" s="20">
        <f t="shared" si="0"/>
        <v>5584.1248803827748</v>
      </c>
      <c r="J99" s="20">
        <f>F99*F40</f>
        <v>13000</v>
      </c>
      <c r="K99" s="125"/>
    </row>
    <row r="100" spans="2:11" x14ac:dyDescent="0.45">
      <c r="B100" s="199">
        <v>5</v>
      </c>
      <c r="C100" s="242" t="s">
        <v>132</v>
      </c>
      <c r="D100" s="242"/>
      <c r="E100" s="242"/>
      <c r="F100" s="201">
        <v>1</v>
      </c>
      <c r="G100" s="31" t="s">
        <v>118</v>
      </c>
      <c r="H100" s="126">
        <f>F100*L9</f>
        <v>7559.8145135566192</v>
      </c>
      <c r="I100" s="20">
        <f t="shared" si="0"/>
        <v>5440.1854864433808</v>
      </c>
      <c r="J100" s="20">
        <f>F100*L10</f>
        <v>13000</v>
      </c>
      <c r="K100" s="125"/>
    </row>
    <row r="101" spans="2:11" x14ac:dyDescent="0.45">
      <c r="B101" s="200">
        <v>6</v>
      </c>
      <c r="C101" s="242" t="s">
        <v>133</v>
      </c>
      <c r="D101" s="242"/>
      <c r="E101" s="242"/>
      <c r="F101" s="202">
        <v>1</v>
      </c>
      <c r="G101" s="31" t="s">
        <v>118</v>
      </c>
      <c r="H101" s="127">
        <f>F101*L19</f>
        <v>7531.0266347687402</v>
      </c>
      <c r="I101" s="20">
        <f t="shared" si="0"/>
        <v>5468.9733652312598</v>
      </c>
      <c r="J101" s="20">
        <f>F101*L20</f>
        <v>13000</v>
      </c>
      <c r="K101" s="125"/>
    </row>
    <row r="102" spans="2:11" x14ac:dyDescent="0.45">
      <c r="B102" s="200">
        <v>7</v>
      </c>
      <c r="C102" s="242" t="s">
        <v>134</v>
      </c>
      <c r="D102" s="242"/>
      <c r="E102" s="242"/>
      <c r="F102" s="202">
        <v>1</v>
      </c>
      <c r="G102" s="31" t="s">
        <v>118</v>
      </c>
      <c r="H102" s="16">
        <f>L29</f>
        <v>8345.7315789473687</v>
      </c>
      <c r="I102" s="20">
        <f t="shared" si="0"/>
        <v>4654.2684210526313</v>
      </c>
      <c r="J102" s="20">
        <f>L30</f>
        <v>13000</v>
      </c>
      <c r="K102" s="125"/>
    </row>
    <row r="103" spans="2:11" x14ac:dyDescent="0.45">
      <c r="B103" s="200">
        <v>8</v>
      </c>
      <c r="C103" s="242" t="s">
        <v>147</v>
      </c>
      <c r="D103" s="242"/>
      <c r="E103" s="242"/>
      <c r="F103" s="202">
        <v>1</v>
      </c>
      <c r="G103" s="31" t="s">
        <v>118</v>
      </c>
      <c r="H103" s="16">
        <f>L39</f>
        <v>7886.1518508880363</v>
      </c>
      <c r="I103" s="20">
        <f t="shared" si="0"/>
        <v>5113.8481491119637</v>
      </c>
      <c r="J103" s="20">
        <f>L40</f>
        <v>13000</v>
      </c>
      <c r="K103" s="125"/>
    </row>
    <row r="104" spans="2:11" x14ac:dyDescent="0.45">
      <c r="B104" s="200">
        <v>9</v>
      </c>
      <c r="C104" s="242" t="s">
        <v>302</v>
      </c>
      <c r="D104" s="242"/>
      <c r="E104" s="242"/>
      <c r="F104" s="202">
        <v>1</v>
      </c>
      <c r="G104" s="31" t="s">
        <v>118</v>
      </c>
      <c r="H104" s="16">
        <f>R11</f>
        <v>13048.86198685837</v>
      </c>
      <c r="I104" s="20">
        <f t="shared" ref="I104:I105" si="1">J104-H104</f>
        <v>-13048.86198685837</v>
      </c>
      <c r="J104" s="16">
        <f>R55</f>
        <v>0</v>
      </c>
    </row>
    <row r="105" spans="2:11" x14ac:dyDescent="0.45">
      <c r="B105" s="200">
        <v>10</v>
      </c>
      <c r="C105" s="242" t="s">
        <v>303</v>
      </c>
      <c r="D105" s="242"/>
      <c r="E105" s="242"/>
      <c r="F105" s="202">
        <v>1</v>
      </c>
      <c r="G105" s="31" t="s">
        <v>118</v>
      </c>
      <c r="H105" s="16">
        <f>R23</f>
        <v>10981.36198685837</v>
      </c>
      <c r="I105" s="20">
        <f t="shared" si="1"/>
        <v>-10981.36198685837</v>
      </c>
      <c r="J105" s="16">
        <f>R24</f>
        <v>0</v>
      </c>
      <c r="K105" s="1"/>
    </row>
    <row r="106" spans="2:11" x14ac:dyDescent="0.45"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2:11" x14ac:dyDescent="0.45">
      <c r="B107" s="2" t="s">
        <v>135</v>
      </c>
      <c r="C107" s="1"/>
      <c r="D107" s="1"/>
      <c r="E107" s="1"/>
      <c r="F107" s="1"/>
      <c r="G107" s="1"/>
      <c r="H107" s="1"/>
      <c r="I107" s="1"/>
      <c r="J107" s="1"/>
      <c r="K107" s="1"/>
    </row>
    <row r="108" spans="2:11" x14ac:dyDescent="0.45">
      <c r="B108" s="203" t="s">
        <v>0</v>
      </c>
      <c r="C108" s="244" t="s">
        <v>125</v>
      </c>
      <c r="D108" s="244"/>
      <c r="E108" s="244"/>
      <c r="F108" s="204" t="s">
        <v>34</v>
      </c>
      <c r="G108" s="122" t="s">
        <v>50</v>
      </c>
      <c r="H108" s="123" t="s">
        <v>126</v>
      </c>
      <c r="I108" s="124" t="s">
        <v>119</v>
      </c>
      <c r="J108" s="137" t="s">
        <v>127</v>
      </c>
      <c r="K108" s="198"/>
    </row>
    <row r="109" spans="2:11" x14ac:dyDescent="0.45">
      <c r="B109" s="199">
        <v>1</v>
      </c>
      <c r="C109" s="242" t="s">
        <v>136</v>
      </c>
      <c r="D109" s="242"/>
      <c r="E109" s="242"/>
      <c r="F109" s="69">
        <v>1</v>
      </c>
      <c r="G109" s="24" t="s">
        <v>118</v>
      </c>
      <c r="H109" s="125">
        <f>F52</f>
        <v>7790.7315789473687</v>
      </c>
      <c r="I109" s="20">
        <f t="shared" ref="I109:I118" si="2">J109-H109</f>
        <v>6209.2684210526313</v>
      </c>
      <c r="J109" s="20">
        <f>F53</f>
        <v>14000</v>
      </c>
      <c r="K109" s="125"/>
    </row>
    <row r="110" spans="2:11" x14ac:dyDescent="0.45">
      <c r="B110" s="200">
        <v>2</v>
      </c>
      <c r="C110" s="242" t="s">
        <v>137</v>
      </c>
      <c r="D110" s="242"/>
      <c r="E110" s="242"/>
      <c r="F110" s="201">
        <v>1</v>
      </c>
      <c r="G110" s="31" t="s">
        <v>118</v>
      </c>
      <c r="H110" s="126">
        <f>F64</f>
        <v>9093.363157894737</v>
      </c>
      <c r="I110" s="20">
        <f t="shared" si="2"/>
        <v>7906.636842105263</v>
      </c>
      <c r="J110" s="20">
        <f>F65</f>
        <v>17000</v>
      </c>
      <c r="K110" s="125"/>
    </row>
    <row r="111" spans="2:11" x14ac:dyDescent="0.45">
      <c r="B111" s="199">
        <v>3</v>
      </c>
      <c r="C111" s="242" t="s">
        <v>138</v>
      </c>
      <c r="D111" s="242"/>
      <c r="E111" s="242"/>
      <c r="F111" s="201">
        <v>1</v>
      </c>
      <c r="G111" s="31" t="s">
        <v>118</v>
      </c>
      <c r="H111" s="126">
        <f>F76</f>
        <v>9078.4508771929832</v>
      </c>
      <c r="I111" s="20">
        <f t="shared" si="2"/>
        <v>7921.5491228070168</v>
      </c>
      <c r="J111" s="20">
        <f>F77</f>
        <v>17000</v>
      </c>
      <c r="K111" s="125"/>
    </row>
    <row r="112" spans="2:11" x14ac:dyDescent="0.45">
      <c r="B112" s="200">
        <v>4</v>
      </c>
      <c r="C112" s="242" t="s">
        <v>139</v>
      </c>
      <c r="D112" s="242"/>
      <c r="E112" s="242"/>
      <c r="F112" s="201">
        <v>1</v>
      </c>
      <c r="G112" s="31" t="s">
        <v>118</v>
      </c>
      <c r="H112" s="126">
        <f>F88</f>
        <v>9020.8751196172252</v>
      </c>
      <c r="I112" s="20">
        <f t="shared" si="2"/>
        <v>7979.1248803827748</v>
      </c>
      <c r="J112" s="20">
        <f>F89</f>
        <v>17000</v>
      </c>
      <c r="K112" s="125"/>
    </row>
    <row r="113" spans="2:11" x14ac:dyDescent="0.45">
      <c r="B113" s="199">
        <v>5</v>
      </c>
      <c r="C113" s="242" t="s">
        <v>140</v>
      </c>
      <c r="D113" s="242"/>
      <c r="E113" s="242"/>
      <c r="F113" s="201">
        <v>1</v>
      </c>
      <c r="G113" s="31" t="s">
        <v>118</v>
      </c>
      <c r="H113" s="126">
        <f>L52</f>
        <v>9164.8145135566192</v>
      </c>
      <c r="I113" s="20">
        <f t="shared" si="2"/>
        <v>7835.1854864433808</v>
      </c>
      <c r="J113" s="20">
        <f>L53</f>
        <v>17000</v>
      </c>
      <c r="K113" s="125"/>
    </row>
    <row r="114" spans="2:11" x14ac:dyDescent="0.45">
      <c r="B114" s="200">
        <v>6</v>
      </c>
      <c r="C114" s="242" t="s">
        <v>141</v>
      </c>
      <c r="D114" s="242"/>
      <c r="E114" s="242"/>
      <c r="F114" s="202">
        <v>1</v>
      </c>
      <c r="G114" s="31" t="s">
        <v>118</v>
      </c>
      <c r="H114" s="127">
        <f>L64</f>
        <v>9136.0266347687393</v>
      </c>
      <c r="I114" s="20">
        <f t="shared" si="2"/>
        <v>7863.9733652312607</v>
      </c>
      <c r="J114" s="20">
        <f>L65</f>
        <v>17000</v>
      </c>
      <c r="K114" s="125"/>
    </row>
    <row r="115" spans="2:11" x14ac:dyDescent="0.45">
      <c r="B115" s="200">
        <v>7</v>
      </c>
      <c r="C115" s="242" t="s">
        <v>134</v>
      </c>
      <c r="D115" s="242"/>
      <c r="E115" s="242"/>
      <c r="F115" s="202">
        <v>1</v>
      </c>
      <c r="G115" s="31" t="s">
        <v>118</v>
      </c>
      <c r="H115" s="16">
        <f>L76</f>
        <v>9950.7315789473687</v>
      </c>
      <c r="I115" s="20">
        <f t="shared" si="2"/>
        <v>7049.2684210526313</v>
      </c>
      <c r="J115" s="20">
        <f>L77</f>
        <v>17000</v>
      </c>
      <c r="K115" s="125"/>
    </row>
    <row r="116" spans="2:11" x14ac:dyDescent="0.45">
      <c r="B116" s="200">
        <v>8</v>
      </c>
      <c r="C116" s="242" t="s">
        <v>147</v>
      </c>
      <c r="D116" s="242"/>
      <c r="E116" s="242"/>
      <c r="F116" s="202">
        <v>1</v>
      </c>
      <c r="G116" s="31" t="s">
        <v>118</v>
      </c>
      <c r="H116" s="16">
        <f>L88</f>
        <v>9491.1518508880363</v>
      </c>
      <c r="I116" s="20">
        <f t="shared" si="2"/>
        <v>7508.8481491119637</v>
      </c>
      <c r="J116" s="20">
        <f>L89</f>
        <v>17000</v>
      </c>
      <c r="K116" s="125"/>
    </row>
    <row r="117" spans="2:11" x14ac:dyDescent="0.45">
      <c r="B117" s="200">
        <v>9</v>
      </c>
      <c r="C117" s="242" t="s">
        <v>302</v>
      </c>
      <c r="D117" s="242"/>
      <c r="E117" s="242"/>
      <c r="F117" s="202">
        <v>1</v>
      </c>
      <c r="G117" s="31" t="s">
        <v>118</v>
      </c>
      <c r="H117" s="16">
        <f>R54</f>
        <v>14653.86198685837</v>
      </c>
      <c r="I117" s="20">
        <f t="shared" si="2"/>
        <v>-14653.86198685837</v>
      </c>
      <c r="J117" s="16">
        <f>R55</f>
        <v>0</v>
      </c>
      <c r="K117" s="125"/>
    </row>
    <row r="118" spans="2:11" x14ac:dyDescent="0.45">
      <c r="B118" s="200">
        <v>10</v>
      </c>
      <c r="C118" s="242" t="s">
        <v>303</v>
      </c>
      <c r="D118" s="242"/>
      <c r="E118" s="242"/>
      <c r="F118" s="202">
        <v>1</v>
      </c>
      <c r="G118" s="31" t="s">
        <v>118</v>
      </c>
      <c r="H118" s="16">
        <f>R68</f>
        <v>16378.86198685837</v>
      </c>
      <c r="I118" s="20">
        <f t="shared" si="2"/>
        <v>-16378.86198685837</v>
      </c>
      <c r="J118" s="16">
        <f>R69</f>
        <v>0</v>
      </c>
      <c r="K118" s="125"/>
    </row>
    <row r="119" spans="2:11" x14ac:dyDescent="0.45"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2:11" x14ac:dyDescent="0.45">
      <c r="B120" s="2" t="s">
        <v>142</v>
      </c>
      <c r="C120" s="1"/>
      <c r="D120" s="1"/>
      <c r="E120" s="1"/>
      <c r="F120" s="1"/>
      <c r="G120" s="1"/>
      <c r="H120" s="1"/>
      <c r="I120" s="1"/>
      <c r="J120" s="1"/>
      <c r="K120" s="1"/>
    </row>
    <row r="121" spans="2:11" x14ac:dyDescent="0.45">
      <c r="B121" s="122" t="s">
        <v>0</v>
      </c>
      <c r="C121" s="122" t="s">
        <v>125</v>
      </c>
      <c r="D121" s="122" t="s">
        <v>34</v>
      </c>
      <c r="E121" s="122" t="s">
        <v>50</v>
      </c>
      <c r="F121" s="123" t="s">
        <v>126</v>
      </c>
      <c r="G121" s="124" t="s">
        <v>119</v>
      </c>
      <c r="H121" s="241" t="s">
        <v>127</v>
      </c>
      <c r="I121" s="241"/>
      <c r="J121" s="1"/>
      <c r="K121" s="1"/>
    </row>
    <row r="122" spans="2:11" x14ac:dyDescent="0.45">
      <c r="B122" s="19">
        <v>1</v>
      </c>
      <c r="C122" s="128" t="s">
        <v>25</v>
      </c>
      <c r="D122" s="31">
        <v>30</v>
      </c>
      <c r="E122" s="31" t="s">
        <v>8</v>
      </c>
      <c r="F122" s="129">
        <f>D122*'Daftar HPP'!$G$22</f>
        <v>1995</v>
      </c>
      <c r="G122" s="20">
        <f t="shared" ref="G122:G123" si="3">H122-F122</f>
        <v>3005</v>
      </c>
      <c r="H122" s="239">
        <v>5000</v>
      </c>
      <c r="I122" s="239"/>
      <c r="J122" s="1"/>
      <c r="K122" s="1"/>
    </row>
    <row r="123" spans="2:11" x14ac:dyDescent="0.45">
      <c r="B123" s="19">
        <v>2</v>
      </c>
      <c r="C123" s="128" t="s">
        <v>26</v>
      </c>
      <c r="D123" s="31">
        <v>30</v>
      </c>
      <c r="E123" s="31" t="s">
        <v>8</v>
      </c>
      <c r="F123" s="129">
        <f>D123*'Daftar HPP'!$G$23</f>
        <v>1824</v>
      </c>
      <c r="G123" s="20">
        <f t="shared" si="3"/>
        <v>3176</v>
      </c>
      <c r="H123" s="239">
        <v>5000</v>
      </c>
      <c r="I123" s="239"/>
      <c r="J123" s="1"/>
      <c r="K123" s="1"/>
    </row>
    <row r="124" spans="2:11" x14ac:dyDescent="0.45">
      <c r="B124" s="19">
        <v>3</v>
      </c>
      <c r="C124" s="128" t="s">
        <v>143</v>
      </c>
      <c r="D124" s="31">
        <v>30</v>
      </c>
      <c r="E124" s="31" t="s">
        <v>8</v>
      </c>
      <c r="F124" s="129">
        <f>D124*'Daftar HPP'!$G$24</f>
        <v>2394</v>
      </c>
      <c r="G124" s="20">
        <f>H124-F124</f>
        <v>2606</v>
      </c>
      <c r="H124" s="239">
        <v>5000</v>
      </c>
      <c r="I124" s="239"/>
      <c r="J124" s="1"/>
      <c r="K124" s="1"/>
    </row>
    <row r="125" spans="2:11" x14ac:dyDescent="0.45">
      <c r="B125" s="19">
        <v>4</v>
      </c>
      <c r="C125" s="128" t="s">
        <v>107</v>
      </c>
      <c r="D125" s="31">
        <v>30</v>
      </c>
      <c r="E125" s="31" t="s">
        <v>8</v>
      </c>
      <c r="F125" s="129">
        <f>D125*'Daftar HPP'!$G$25</f>
        <v>2280</v>
      </c>
      <c r="G125" s="20">
        <f>H125-F125</f>
        <v>2720</v>
      </c>
      <c r="H125" s="239">
        <v>5000</v>
      </c>
      <c r="I125" s="239"/>
      <c r="J125" s="1"/>
      <c r="K125" s="1"/>
    </row>
    <row r="126" spans="2:11" x14ac:dyDescent="0.45">
      <c r="B126" s="19">
        <v>5</v>
      </c>
      <c r="C126" s="128" t="s">
        <v>24</v>
      </c>
      <c r="D126" s="19">
        <v>25</v>
      </c>
      <c r="E126" s="19" t="s">
        <v>8</v>
      </c>
      <c r="F126" s="20">
        <f>D126*'Daftar HPP'!$G$21</f>
        <v>4062.5</v>
      </c>
      <c r="G126" s="20">
        <f>H126-F126</f>
        <v>1937.5</v>
      </c>
      <c r="H126" s="240">
        <v>6000</v>
      </c>
      <c r="I126" s="240"/>
      <c r="J126" s="1"/>
      <c r="K126" s="1"/>
    </row>
  </sheetData>
  <mergeCells count="31">
    <mergeCell ref="C103:E103"/>
    <mergeCell ref="C104:E104"/>
    <mergeCell ref="C105:E105"/>
    <mergeCell ref="C117:E117"/>
    <mergeCell ref="C118:E118"/>
    <mergeCell ref="C109:E109"/>
    <mergeCell ref="C108:E108"/>
    <mergeCell ref="C110:E110"/>
    <mergeCell ref="C111:E111"/>
    <mergeCell ref="C112:E112"/>
    <mergeCell ref="C113:E113"/>
    <mergeCell ref="C114:E114"/>
    <mergeCell ref="C115:E115"/>
    <mergeCell ref="C116:E116"/>
    <mergeCell ref="B2:R2"/>
    <mergeCell ref="B43:R43"/>
    <mergeCell ref="C95:E95"/>
    <mergeCell ref="C96:E96"/>
    <mergeCell ref="C97:E97"/>
    <mergeCell ref="B92:K92"/>
    <mergeCell ref="C98:E98"/>
    <mergeCell ref="C99:E99"/>
    <mergeCell ref="C100:E100"/>
    <mergeCell ref="C101:E101"/>
    <mergeCell ref="C102:E102"/>
    <mergeCell ref="H125:I125"/>
    <mergeCell ref="H126:I126"/>
    <mergeCell ref="H121:I121"/>
    <mergeCell ref="H122:I122"/>
    <mergeCell ref="H123:I123"/>
    <mergeCell ref="H124:I1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C0D4A-E851-484A-B826-A5A24BC3BB60}">
  <dimension ref="B2:L39"/>
  <sheetViews>
    <sheetView topLeftCell="A7" workbookViewId="0">
      <selection activeCell="I25" sqref="I25"/>
    </sheetView>
  </sheetViews>
  <sheetFormatPr defaultRowHeight="14.25" x14ac:dyDescent="0.45"/>
  <cols>
    <col min="3" max="3" width="33.796875" customWidth="1"/>
    <col min="6" max="8" width="10.19921875" bestFit="1" customWidth="1"/>
  </cols>
  <sheetData>
    <row r="2" spans="2:12" ht="18.75" x14ac:dyDescent="0.45">
      <c r="B2" s="245" t="s">
        <v>166</v>
      </c>
      <c r="C2" s="245"/>
      <c r="D2" s="245"/>
      <c r="E2" s="245"/>
      <c r="F2" s="245"/>
      <c r="G2" s="245"/>
      <c r="H2" s="245"/>
      <c r="I2" s="245"/>
      <c r="J2" s="245"/>
      <c r="K2" s="245"/>
      <c r="L2" s="245"/>
    </row>
    <row r="3" spans="2:12" x14ac:dyDescent="0.45">
      <c r="B3" s="1" t="s">
        <v>167</v>
      </c>
      <c r="C3" s="1"/>
      <c r="D3" s="1"/>
      <c r="E3" s="1"/>
      <c r="F3" s="1"/>
      <c r="G3" s="1"/>
      <c r="H3" s="1"/>
      <c r="I3" s="1"/>
      <c r="J3" s="1"/>
      <c r="K3" s="1"/>
    </row>
    <row r="4" spans="2:12" ht="14.65" thickBot="1" x14ac:dyDescent="0.5">
      <c r="B4" s="61" t="s">
        <v>168</v>
      </c>
      <c r="C4" s="1"/>
      <c r="D4" s="1"/>
      <c r="E4" s="1"/>
      <c r="F4" s="1"/>
      <c r="G4" s="1"/>
      <c r="H4" s="1"/>
      <c r="I4" s="1"/>
      <c r="J4" s="1"/>
      <c r="K4" s="1"/>
    </row>
    <row r="5" spans="2:12" ht="14.65" thickBot="1" x14ac:dyDescent="0.5">
      <c r="B5" s="119" t="s">
        <v>0</v>
      </c>
      <c r="C5" s="111" t="s">
        <v>49</v>
      </c>
      <c r="D5" s="111" t="s">
        <v>34</v>
      </c>
      <c r="E5" s="111" t="s">
        <v>50</v>
      </c>
      <c r="F5" s="111" t="s">
        <v>36</v>
      </c>
      <c r="G5" s="1"/>
      <c r="H5" s="1"/>
      <c r="I5" s="1"/>
      <c r="J5" s="1"/>
      <c r="K5" s="1"/>
    </row>
    <row r="6" spans="2:12" x14ac:dyDescent="0.45">
      <c r="B6" s="19">
        <v>1</v>
      </c>
      <c r="C6" s="120" t="s">
        <v>169</v>
      </c>
      <c r="D6" s="36">
        <v>1</v>
      </c>
      <c r="E6" s="36" t="s">
        <v>61</v>
      </c>
      <c r="F6" s="40">
        <f>D6*'Daftar HPP'!$L$72</f>
        <v>32526.57894736842</v>
      </c>
      <c r="G6" s="1"/>
      <c r="H6" s="1"/>
      <c r="I6" s="1"/>
      <c r="J6" s="1"/>
      <c r="K6" s="1"/>
    </row>
    <row r="7" spans="2:12" x14ac:dyDescent="0.45">
      <c r="B7" s="19">
        <v>2</v>
      </c>
      <c r="C7" s="121" t="s">
        <v>170</v>
      </c>
      <c r="D7" s="31">
        <v>6</v>
      </c>
      <c r="E7" s="31" t="s">
        <v>23</v>
      </c>
      <c r="F7" s="20">
        <f>D7*'Daftar HPP'!$G$20</f>
        <v>3000</v>
      </c>
      <c r="G7" s="1"/>
      <c r="H7" s="1"/>
      <c r="I7" s="1"/>
      <c r="J7" s="1"/>
      <c r="K7" s="1"/>
    </row>
    <row r="8" spans="2:12" x14ac:dyDescent="0.45">
      <c r="B8" s="19">
        <v>3</v>
      </c>
      <c r="C8" s="134" t="s">
        <v>171</v>
      </c>
      <c r="D8" s="135">
        <v>1</v>
      </c>
      <c r="E8" s="135" t="s">
        <v>115</v>
      </c>
      <c r="F8" s="20">
        <f>D8*'Daftar HPP'!$G$35</f>
        <v>1800</v>
      </c>
      <c r="G8" s="1"/>
      <c r="H8" s="1"/>
      <c r="I8" s="1"/>
      <c r="J8" s="1"/>
      <c r="K8" s="1"/>
    </row>
    <row r="9" spans="2:12" x14ac:dyDescent="0.45">
      <c r="B9" s="1"/>
      <c r="C9" s="1"/>
      <c r="D9" s="112" t="s">
        <v>53</v>
      </c>
      <c r="E9" s="113"/>
      <c r="F9" s="114">
        <f>SUM(F6:F8)</f>
        <v>37326.57894736842</v>
      </c>
      <c r="G9" s="1"/>
      <c r="H9" s="1"/>
      <c r="I9" s="1"/>
      <c r="J9" s="1"/>
      <c r="K9" s="1"/>
    </row>
    <row r="10" spans="2:12" x14ac:dyDescent="0.45">
      <c r="B10" s="1"/>
      <c r="C10" s="1"/>
      <c r="D10" s="115" t="s">
        <v>116</v>
      </c>
      <c r="E10" s="116"/>
      <c r="F10" s="117">
        <v>66000</v>
      </c>
      <c r="G10" s="1"/>
      <c r="H10" s="1"/>
      <c r="I10" s="1"/>
      <c r="J10" s="1"/>
      <c r="K10" s="1"/>
    </row>
    <row r="11" spans="2:12" x14ac:dyDescent="0.45">
      <c r="B11" s="1"/>
      <c r="C11" s="1"/>
      <c r="D11" s="115" t="s">
        <v>172</v>
      </c>
      <c r="E11" s="116"/>
      <c r="F11" s="118">
        <f>F10-F9</f>
        <v>28673.42105263158</v>
      </c>
      <c r="G11" s="1"/>
      <c r="H11" s="1"/>
      <c r="I11" s="1"/>
      <c r="J11" s="1"/>
      <c r="K11" s="1"/>
    </row>
    <row r="12" spans="2:12" x14ac:dyDescent="0.45"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2:12" x14ac:dyDescent="0.45">
      <c r="B13" s="1"/>
      <c r="C13" s="1"/>
      <c r="D13" s="1"/>
      <c r="E13" s="1"/>
      <c r="F13" s="1"/>
      <c r="G13" s="1"/>
      <c r="H13" s="1"/>
      <c r="I13" s="46"/>
      <c r="J13" s="46"/>
      <c r="K13" s="69"/>
    </row>
    <row r="14" spans="2:12" ht="18.75" x14ac:dyDescent="0.45">
      <c r="B14" s="245" t="s">
        <v>173</v>
      </c>
      <c r="C14" s="245"/>
      <c r="D14" s="245"/>
      <c r="E14" s="245"/>
      <c r="F14" s="245"/>
      <c r="G14" s="245"/>
      <c r="H14" s="245"/>
      <c r="I14" s="245"/>
      <c r="J14" s="245"/>
      <c r="K14" s="245"/>
      <c r="L14" s="245"/>
    </row>
    <row r="15" spans="2:12" x14ac:dyDescent="0.45">
      <c r="B15" s="1" t="s">
        <v>174</v>
      </c>
      <c r="C15" s="1"/>
      <c r="D15" s="1"/>
      <c r="E15" s="1"/>
      <c r="F15" s="1"/>
      <c r="G15" s="1"/>
      <c r="H15" s="1"/>
      <c r="I15" s="1"/>
      <c r="J15" s="1"/>
      <c r="K15" s="1"/>
    </row>
    <row r="16" spans="2:12" ht="14.65" thickBot="1" x14ac:dyDescent="0.5">
      <c r="B16" s="1" t="s">
        <v>175</v>
      </c>
      <c r="C16" s="1"/>
      <c r="D16" s="1"/>
      <c r="E16" s="1"/>
      <c r="F16" s="1"/>
      <c r="G16" s="1"/>
      <c r="H16" s="1"/>
      <c r="I16" s="1"/>
      <c r="J16" s="1"/>
      <c r="K16" s="1"/>
    </row>
    <row r="17" spans="2:11" ht="14.65" thickBot="1" x14ac:dyDescent="0.5">
      <c r="B17" s="111" t="s">
        <v>0</v>
      </c>
      <c r="C17" s="111" t="s">
        <v>49</v>
      </c>
      <c r="D17" s="111" t="s">
        <v>34</v>
      </c>
      <c r="E17" s="111" t="s">
        <v>50</v>
      </c>
      <c r="F17" s="111" t="s">
        <v>36</v>
      </c>
      <c r="G17" s="1"/>
      <c r="H17" s="1"/>
      <c r="I17" s="1"/>
      <c r="J17" s="1"/>
      <c r="K17" s="1"/>
    </row>
    <row r="18" spans="2:11" x14ac:dyDescent="0.45">
      <c r="B18" s="38">
        <v>1</v>
      </c>
      <c r="C18" s="39" t="s">
        <v>169</v>
      </c>
      <c r="D18" s="36">
        <v>1</v>
      </c>
      <c r="E18" s="36" t="s">
        <v>61</v>
      </c>
      <c r="F18" s="40">
        <f>D18*'Daftar HPP'!$L$72</f>
        <v>32526.57894736842</v>
      </c>
      <c r="G18" s="1"/>
      <c r="H18" s="1"/>
      <c r="I18" s="1"/>
      <c r="J18" s="1"/>
      <c r="K18" s="1"/>
    </row>
    <row r="19" spans="2:11" x14ac:dyDescent="0.45">
      <c r="B19" s="19">
        <v>2</v>
      </c>
      <c r="C19" s="14" t="s">
        <v>18</v>
      </c>
      <c r="D19" s="31">
        <v>240</v>
      </c>
      <c r="E19" s="31" t="s">
        <v>8</v>
      </c>
      <c r="F19" s="20">
        <f>D19*'Daftar HPP'!$F$123</f>
        <v>11071.770334928229</v>
      </c>
      <c r="G19" s="1"/>
      <c r="H19" s="1"/>
      <c r="I19" s="1"/>
      <c r="J19" s="1"/>
      <c r="K19" s="1"/>
    </row>
    <row r="20" spans="2:11" x14ac:dyDescent="0.45">
      <c r="B20" s="19">
        <v>3</v>
      </c>
      <c r="C20" s="136" t="s">
        <v>176</v>
      </c>
      <c r="D20" s="31">
        <v>1</v>
      </c>
      <c r="E20" s="31" t="s">
        <v>115</v>
      </c>
      <c r="F20" s="20">
        <f>D20*'Daftar HPP'!$G$35</f>
        <v>1800</v>
      </c>
      <c r="G20" s="1"/>
      <c r="H20" s="1"/>
      <c r="I20" s="1"/>
      <c r="J20" s="1"/>
      <c r="K20" s="1"/>
    </row>
    <row r="21" spans="2:11" x14ac:dyDescent="0.45">
      <c r="B21" s="1"/>
      <c r="C21" s="1"/>
      <c r="D21" s="112" t="s">
        <v>53</v>
      </c>
      <c r="E21" s="113"/>
      <c r="F21" s="114">
        <f>SUM(F18:F20)</f>
        <v>45398.349282296651</v>
      </c>
      <c r="G21" s="1"/>
      <c r="H21" s="1"/>
      <c r="I21" s="1"/>
      <c r="J21" s="1"/>
      <c r="K21" s="1"/>
    </row>
    <row r="22" spans="2:11" x14ac:dyDescent="0.45">
      <c r="B22" s="1"/>
      <c r="C22" s="1"/>
      <c r="D22" s="115" t="s">
        <v>116</v>
      </c>
      <c r="E22" s="116"/>
      <c r="F22" s="117">
        <v>76000</v>
      </c>
      <c r="G22" s="1"/>
      <c r="H22" s="1"/>
      <c r="I22" s="1"/>
      <c r="J22" s="1"/>
      <c r="K22" s="1"/>
    </row>
    <row r="23" spans="2:11" x14ac:dyDescent="0.45">
      <c r="B23" s="1"/>
      <c r="C23" s="1"/>
      <c r="D23" s="115" t="s">
        <v>119</v>
      </c>
      <c r="E23" s="116"/>
      <c r="F23" s="118">
        <f>F22-F21</f>
        <v>30601.650717703349</v>
      </c>
      <c r="G23" s="1"/>
      <c r="H23" s="1"/>
      <c r="I23" s="1"/>
      <c r="J23" s="1"/>
      <c r="K23" s="1"/>
    </row>
    <row r="25" spans="2:11" x14ac:dyDescent="0.45">
      <c r="B25" s="2" t="s">
        <v>178</v>
      </c>
      <c r="C25" s="1"/>
      <c r="D25" s="1"/>
      <c r="E25" s="1"/>
      <c r="F25" s="1"/>
      <c r="G25" s="1"/>
      <c r="H25" s="1"/>
      <c r="I25" s="1"/>
    </row>
    <row r="26" spans="2:11" x14ac:dyDescent="0.45">
      <c r="B26" s="122" t="s">
        <v>0</v>
      </c>
      <c r="C26" s="122" t="s">
        <v>125</v>
      </c>
      <c r="D26" s="122" t="s">
        <v>34</v>
      </c>
      <c r="E26" s="122" t="s">
        <v>50</v>
      </c>
      <c r="F26" s="123" t="s">
        <v>126</v>
      </c>
      <c r="G26" s="124" t="s">
        <v>119</v>
      </c>
      <c r="H26" s="137" t="s">
        <v>127</v>
      </c>
      <c r="I26" s="138"/>
    </row>
    <row r="27" spans="2:11" x14ac:dyDescent="0.45">
      <c r="B27" s="19">
        <v>1</v>
      </c>
      <c r="C27" s="14" t="s">
        <v>179</v>
      </c>
      <c r="D27" s="31">
        <v>1</v>
      </c>
      <c r="E27" s="31" t="s">
        <v>118</v>
      </c>
      <c r="F27" s="20">
        <f>D27*F9</f>
        <v>37326.57894736842</v>
      </c>
      <c r="G27" s="20">
        <f>H27-F27</f>
        <v>28673.42105263158</v>
      </c>
      <c r="H27" s="16">
        <f>D27*F10</f>
        <v>66000</v>
      </c>
      <c r="I27" s="132"/>
    </row>
    <row r="28" spans="2:11" x14ac:dyDescent="0.45">
      <c r="B28" s="1"/>
      <c r="C28" s="1"/>
      <c r="D28" s="1"/>
      <c r="E28" s="1"/>
      <c r="F28" s="1"/>
      <c r="G28" s="1"/>
      <c r="H28" s="1"/>
      <c r="I28" s="1"/>
    </row>
    <row r="29" spans="2:11" x14ac:dyDescent="0.45">
      <c r="B29" s="2" t="s">
        <v>180</v>
      </c>
      <c r="C29" s="1"/>
      <c r="D29" s="1"/>
      <c r="E29" s="1"/>
      <c r="F29" s="1"/>
      <c r="G29" s="1"/>
      <c r="H29" s="1"/>
      <c r="I29" s="1"/>
    </row>
    <row r="30" spans="2:11" x14ac:dyDescent="0.45">
      <c r="B30" s="122" t="s">
        <v>0</v>
      </c>
      <c r="C30" s="122" t="s">
        <v>125</v>
      </c>
      <c r="D30" s="122" t="s">
        <v>34</v>
      </c>
      <c r="E30" s="122" t="s">
        <v>50</v>
      </c>
      <c r="F30" s="123" t="s">
        <v>126</v>
      </c>
      <c r="G30" s="124" t="s">
        <v>119</v>
      </c>
      <c r="H30" s="137" t="s">
        <v>127</v>
      </c>
      <c r="I30" s="1"/>
    </row>
    <row r="31" spans="2:11" x14ac:dyDescent="0.45">
      <c r="B31" s="19">
        <v>2</v>
      </c>
      <c r="C31" s="14" t="s">
        <v>181</v>
      </c>
      <c r="D31" s="31">
        <v>1</v>
      </c>
      <c r="E31" s="31" t="s">
        <v>118</v>
      </c>
      <c r="F31" s="20">
        <f>D31*F21</f>
        <v>45398.349282296651</v>
      </c>
      <c r="G31" s="20">
        <f>H31-F31</f>
        <v>30601.650717703349</v>
      </c>
      <c r="H31" s="20">
        <f>D31*F22</f>
        <v>76000</v>
      </c>
      <c r="I31" s="1"/>
    </row>
    <row r="33" spans="2:9" x14ac:dyDescent="0.45">
      <c r="B33" s="2" t="s">
        <v>182</v>
      </c>
      <c r="C33" s="1"/>
      <c r="D33" s="1"/>
      <c r="E33" s="1"/>
      <c r="F33" s="1"/>
      <c r="G33" s="1"/>
      <c r="H33" s="1"/>
      <c r="I33" s="1"/>
    </row>
    <row r="34" spans="2:9" x14ac:dyDescent="0.45">
      <c r="B34" s="122" t="s">
        <v>0</v>
      </c>
      <c r="C34" s="122" t="s">
        <v>125</v>
      </c>
      <c r="D34" s="122" t="s">
        <v>34</v>
      </c>
      <c r="E34" s="122" t="s">
        <v>50</v>
      </c>
      <c r="F34" s="123" t="s">
        <v>126</v>
      </c>
      <c r="G34" s="124" t="s">
        <v>119</v>
      </c>
      <c r="H34" s="241" t="s">
        <v>127</v>
      </c>
      <c r="I34" s="241"/>
    </row>
    <row r="35" spans="2:9" x14ac:dyDescent="0.45">
      <c r="B35" s="19">
        <v>1</v>
      </c>
      <c r="C35" s="128" t="s">
        <v>25</v>
      </c>
      <c r="D35" s="31">
        <v>50</v>
      </c>
      <c r="E35" s="31" t="s">
        <v>8</v>
      </c>
      <c r="F35" s="129">
        <f>D35*'Daftar HPP'!$G$22</f>
        <v>3325</v>
      </c>
      <c r="G35" s="20">
        <f t="shared" ref="G35:G36" si="0">H35-F35</f>
        <v>5675</v>
      </c>
      <c r="H35" s="239">
        <v>9000</v>
      </c>
      <c r="I35" s="239"/>
    </row>
    <row r="36" spans="2:9" x14ac:dyDescent="0.45">
      <c r="B36" s="19">
        <v>2</v>
      </c>
      <c r="C36" s="128" t="s">
        <v>26</v>
      </c>
      <c r="D36" s="31">
        <v>50</v>
      </c>
      <c r="E36" s="31" t="s">
        <v>8</v>
      </c>
      <c r="F36" s="129">
        <f>D36*'Daftar HPP'!$G$23</f>
        <v>3040</v>
      </c>
      <c r="G36" s="20">
        <f t="shared" si="0"/>
        <v>5960</v>
      </c>
      <c r="H36" s="239">
        <v>9000</v>
      </c>
      <c r="I36" s="239"/>
    </row>
    <row r="37" spans="2:9" x14ac:dyDescent="0.45">
      <c r="B37" s="19">
        <v>3</v>
      </c>
      <c r="C37" s="128" t="s">
        <v>143</v>
      </c>
      <c r="D37" s="31">
        <v>50</v>
      </c>
      <c r="E37" s="31" t="s">
        <v>8</v>
      </c>
      <c r="F37" s="129">
        <f>D37*'Daftar HPP'!$G$24</f>
        <v>3990</v>
      </c>
      <c r="G37" s="20">
        <f>H37-F37</f>
        <v>5010</v>
      </c>
      <c r="H37" s="239">
        <v>9000</v>
      </c>
      <c r="I37" s="239"/>
    </row>
    <row r="38" spans="2:9" x14ac:dyDescent="0.45">
      <c r="B38" s="19">
        <v>4</v>
      </c>
      <c r="C38" s="128" t="s">
        <v>107</v>
      </c>
      <c r="D38" s="31">
        <v>50</v>
      </c>
      <c r="E38" s="31" t="s">
        <v>8</v>
      </c>
      <c r="F38" s="129">
        <f>D38*'Daftar HPP'!$G$25</f>
        <v>3800</v>
      </c>
      <c r="G38" s="20">
        <f>H38-F38</f>
        <v>5200</v>
      </c>
      <c r="H38" s="239">
        <v>9000</v>
      </c>
      <c r="I38" s="239"/>
    </row>
    <row r="39" spans="2:9" x14ac:dyDescent="0.45">
      <c r="B39" s="19">
        <v>5</v>
      </c>
      <c r="C39" s="128" t="s">
        <v>24</v>
      </c>
      <c r="D39" s="19">
        <v>50</v>
      </c>
      <c r="E39" s="19" t="s">
        <v>8</v>
      </c>
      <c r="F39" s="20">
        <f>D39*'Daftar HPP'!$G$21</f>
        <v>8125</v>
      </c>
      <c r="G39" s="20">
        <f>H39-F39</f>
        <v>3875</v>
      </c>
      <c r="H39" s="240">
        <v>12000</v>
      </c>
      <c r="I39" s="240"/>
    </row>
  </sheetData>
  <mergeCells count="8">
    <mergeCell ref="H38:I38"/>
    <mergeCell ref="H39:I39"/>
    <mergeCell ref="B14:L14"/>
    <mergeCell ref="B2:L2"/>
    <mergeCell ref="H34:I34"/>
    <mergeCell ref="H35:I35"/>
    <mergeCell ref="H36:I36"/>
    <mergeCell ref="H37:I3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2CBA6-BC1B-45F8-AA71-F1ADC7F2C320}">
  <dimension ref="B2:L137"/>
  <sheetViews>
    <sheetView zoomScaleNormal="100" workbookViewId="0">
      <selection activeCell="H10" sqref="H10"/>
    </sheetView>
  </sheetViews>
  <sheetFormatPr defaultRowHeight="14.25" x14ac:dyDescent="0.45"/>
  <cols>
    <col min="3" max="3" width="34.6640625" bestFit="1" customWidth="1"/>
    <col min="6" max="6" width="10.1328125" bestFit="1" customWidth="1"/>
    <col min="7" max="7" width="9.19921875" bestFit="1" customWidth="1"/>
    <col min="9" max="9" width="22.796875" customWidth="1"/>
    <col min="12" max="12" width="10.86328125" bestFit="1" customWidth="1"/>
  </cols>
  <sheetData>
    <row r="2" spans="2:12" ht="15.4" x14ac:dyDescent="0.45">
      <c r="B2" s="259" t="s">
        <v>183</v>
      </c>
      <c r="C2" s="259"/>
      <c r="D2" s="259"/>
      <c r="E2" s="259"/>
      <c r="F2" s="259"/>
      <c r="G2" s="259"/>
      <c r="H2" s="259"/>
      <c r="I2" s="259"/>
      <c r="J2" s="259"/>
      <c r="K2" s="259"/>
      <c r="L2" s="259"/>
    </row>
    <row r="3" spans="2:12" ht="15.4" x14ac:dyDescent="0.45">
      <c r="B3" s="260" t="s">
        <v>184</v>
      </c>
      <c r="C3" s="260"/>
      <c r="D3" s="260"/>
      <c r="E3" s="260"/>
      <c r="F3" s="260"/>
      <c r="G3" s="139"/>
      <c r="H3" s="260" t="s">
        <v>185</v>
      </c>
      <c r="I3" s="260"/>
      <c r="J3" s="260"/>
      <c r="K3" s="260"/>
      <c r="L3" s="260"/>
    </row>
    <row r="4" spans="2:12" x14ac:dyDescent="0.45">
      <c r="B4" s="140" t="s">
        <v>186</v>
      </c>
      <c r="H4" s="140" t="s">
        <v>186</v>
      </c>
    </row>
    <row r="5" spans="2:12" ht="14.65" thickBot="1" x14ac:dyDescent="0.5">
      <c r="B5" t="s">
        <v>187</v>
      </c>
      <c r="H5" t="s">
        <v>187</v>
      </c>
    </row>
    <row r="6" spans="2:12" x14ac:dyDescent="0.45">
      <c r="B6" s="119" t="s">
        <v>0</v>
      </c>
      <c r="C6" s="119" t="s">
        <v>49</v>
      </c>
      <c r="D6" s="119" t="s">
        <v>34</v>
      </c>
      <c r="E6" s="119" t="s">
        <v>50</v>
      </c>
      <c r="F6" s="119" t="s">
        <v>36</v>
      </c>
      <c r="H6" s="119" t="s">
        <v>0</v>
      </c>
      <c r="I6" s="119" t="s">
        <v>49</v>
      </c>
      <c r="J6" s="119" t="s">
        <v>34</v>
      </c>
      <c r="K6" s="119" t="s">
        <v>50</v>
      </c>
      <c r="L6" s="119" t="s">
        <v>36</v>
      </c>
    </row>
    <row r="7" spans="2:12" x14ac:dyDescent="0.45">
      <c r="B7" s="141">
        <v>1</v>
      </c>
      <c r="C7" s="142" t="s">
        <v>75</v>
      </c>
      <c r="D7" s="141">
        <v>1</v>
      </c>
      <c r="E7" s="141" t="s">
        <v>118</v>
      </c>
      <c r="F7" s="143">
        <f>D7*'Daftar HPP'!$L$81</f>
        <v>3763.1792896876341</v>
      </c>
      <c r="H7" s="141">
        <v>1</v>
      </c>
      <c r="I7" s="142" t="s">
        <v>75</v>
      </c>
      <c r="J7" s="141">
        <v>1</v>
      </c>
      <c r="K7" s="141" t="s">
        <v>118</v>
      </c>
      <c r="L7" s="143">
        <f ca="1">J7*$L$38</f>
        <v>7218.4638425331623</v>
      </c>
    </row>
    <row r="8" spans="2:12" x14ac:dyDescent="0.45">
      <c r="B8" s="141">
        <v>2</v>
      </c>
      <c r="C8" s="142" t="s">
        <v>114</v>
      </c>
      <c r="D8" s="141">
        <v>1</v>
      </c>
      <c r="E8" s="141" t="s">
        <v>8</v>
      </c>
      <c r="F8" s="143">
        <f>D8*'Daftar HPP'!$G$20</f>
        <v>500</v>
      </c>
      <c r="H8" s="141">
        <v>2</v>
      </c>
      <c r="I8" s="142" t="s">
        <v>114</v>
      </c>
      <c r="J8" s="141">
        <v>1</v>
      </c>
      <c r="K8" s="141" t="s">
        <v>8</v>
      </c>
      <c r="L8" s="143">
        <f>J8*'Daftar HPP'!$G$20</f>
        <v>500</v>
      </c>
    </row>
    <row r="9" spans="2:12" x14ac:dyDescent="0.45">
      <c r="B9" s="141">
        <v>3</v>
      </c>
      <c r="C9" s="142" t="s">
        <v>29</v>
      </c>
      <c r="D9" s="141">
        <v>1</v>
      </c>
      <c r="E9" s="141" t="s">
        <v>23</v>
      </c>
      <c r="F9" s="144">
        <f>D9*'Daftar HPP'!$G$37</f>
        <v>388</v>
      </c>
      <c r="H9" s="141">
        <v>3</v>
      </c>
      <c r="I9" s="142" t="s">
        <v>30</v>
      </c>
      <c r="J9" s="141">
        <v>1</v>
      </c>
      <c r="K9" s="141" t="s">
        <v>23</v>
      </c>
      <c r="L9" s="144">
        <f>J9*'Daftar HPP'!$G$38</f>
        <v>810</v>
      </c>
    </row>
    <row r="10" spans="2:12" x14ac:dyDescent="0.45">
      <c r="C10" s="145"/>
      <c r="D10" s="254" t="s">
        <v>53</v>
      </c>
      <c r="E10" s="254"/>
      <c r="F10" s="146">
        <f>SUM(F7:F9)</f>
        <v>4651.1792896876341</v>
      </c>
      <c r="I10" s="145"/>
      <c r="J10" s="254" t="s">
        <v>53</v>
      </c>
      <c r="K10" s="254"/>
      <c r="L10" s="146">
        <f ca="1">SUM(L7:L9)</f>
        <v>8663.4638425331614</v>
      </c>
    </row>
    <row r="11" spans="2:12" x14ac:dyDescent="0.45">
      <c r="D11" s="256" t="s">
        <v>116</v>
      </c>
      <c r="E11" s="256"/>
      <c r="F11" s="147">
        <v>8000</v>
      </c>
      <c r="J11" s="256" t="s">
        <v>116</v>
      </c>
      <c r="K11" s="256"/>
      <c r="L11" s="147">
        <v>14000</v>
      </c>
    </row>
    <row r="12" spans="2:12" x14ac:dyDescent="0.45">
      <c r="D12" s="256" t="s">
        <v>119</v>
      </c>
      <c r="E12" s="256"/>
      <c r="F12" s="148">
        <f>F11-F10</f>
        <v>3348.8207103123659</v>
      </c>
      <c r="J12" s="256" t="s">
        <v>119</v>
      </c>
      <c r="K12" s="256"/>
      <c r="L12" s="148">
        <f ca="1">L11-L10</f>
        <v>5336.5361574668386</v>
      </c>
    </row>
    <row r="13" spans="2:12" ht="15.4" x14ac:dyDescent="0.45">
      <c r="B13" s="139"/>
      <c r="C13" s="139"/>
      <c r="D13" s="139"/>
      <c r="E13" s="139"/>
      <c r="F13" s="139"/>
      <c r="G13" s="139"/>
      <c r="H13" s="139"/>
      <c r="I13" s="139"/>
      <c r="J13" s="139"/>
      <c r="K13" s="139"/>
      <c r="L13" s="139"/>
    </row>
    <row r="14" spans="2:12" ht="15.4" x14ac:dyDescent="0.45">
      <c r="B14" s="139"/>
      <c r="C14" s="139"/>
      <c r="D14" s="139"/>
      <c r="E14" s="139"/>
      <c r="F14" s="139"/>
      <c r="G14" s="139"/>
      <c r="H14" s="139"/>
      <c r="I14" s="139"/>
      <c r="J14" s="139"/>
      <c r="K14" s="139"/>
      <c r="L14" s="139"/>
    </row>
    <row r="15" spans="2:12" x14ac:dyDescent="0.45">
      <c r="B15" s="140" t="s">
        <v>188</v>
      </c>
      <c r="H15" s="140" t="s">
        <v>188</v>
      </c>
    </row>
    <row r="16" spans="2:12" ht="14.65" thickBot="1" x14ac:dyDescent="0.5">
      <c r="B16" t="s">
        <v>187</v>
      </c>
      <c r="H16" t="s">
        <v>187</v>
      </c>
    </row>
    <row r="17" spans="2:12" x14ac:dyDescent="0.45">
      <c r="B17" s="119" t="s">
        <v>0</v>
      </c>
      <c r="C17" s="119" t="s">
        <v>49</v>
      </c>
      <c r="D17" s="119" t="s">
        <v>34</v>
      </c>
      <c r="E17" s="119" t="s">
        <v>50</v>
      </c>
      <c r="F17" s="119" t="s">
        <v>36</v>
      </c>
      <c r="H17" s="119" t="s">
        <v>0</v>
      </c>
      <c r="I17" s="119" t="s">
        <v>49</v>
      </c>
      <c r="J17" s="119" t="s">
        <v>34</v>
      </c>
      <c r="K17" s="119" t="s">
        <v>50</v>
      </c>
      <c r="L17" s="119" t="s">
        <v>36</v>
      </c>
    </row>
    <row r="18" spans="2:12" x14ac:dyDescent="0.45">
      <c r="B18" s="141">
        <v>1</v>
      </c>
      <c r="C18" s="142" t="s">
        <v>75</v>
      </c>
      <c r="D18" s="141">
        <v>1</v>
      </c>
      <c r="E18" s="141" t="s">
        <v>118</v>
      </c>
      <c r="F18" s="143">
        <f>D18*'Daftar HPP'!$L$81</f>
        <v>3763.1792896876341</v>
      </c>
      <c r="H18" s="141">
        <v>1</v>
      </c>
      <c r="I18" s="142" t="s">
        <v>75</v>
      </c>
      <c r="J18" s="141">
        <v>1</v>
      </c>
      <c r="K18" s="141" t="s">
        <v>118</v>
      </c>
      <c r="L18" s="143">
        <f ca="1">J18*$L$38</f>
        <v>7218.4638425331623</v>
      </c>
    </row>
    <row r="19" spans="2:12" x14ac:dyDescent="0.45">
      <c r="B19" s="141">
        <v>2</v>
      </c>
      <c r="C19" s="142" t="s">
        <v>20</v>
      </c>
      <c r="D19" s="141">
        <v>25</v>
      </c>
      <c r="E19" s="141" t="s">
        <v>8</v>
      </c>
      <c r="F19" s="143">
        <f>D19*'Daftar HPP'!$F$114</f>
        <v>1171.3018341307813</v>
      </c>
      <c r="H19" s="141">
        <v>2</v>
      </c>
      <c r="I19" s="142" t="s">
        <v>20</v>
      </c>
      <c r="J19" s="141">
        <v>50</v>
      </c>
      <c r="K19" s="141" t="s">
        <v>8</v>
      </c>
      <c r="L19" s="143">
        <f>J19*'Daftar HPP'!$F$114</f>
        <v>2342.6036682615627</v>
      </c>
    </row>
    <row r="20" spans="2:12" x14ac:dyDescent="0.45">
      <c r="B20" s="141">
        <v>3</v>
      </c>
      <c r="C20" s="142" t="s">
        <v>29</v>
      </c>
      <c r="D20" s="141">
        <v>1</v>
      </c>
      <c r="E20" s="141" t="s">
        <v>23</v>
      </c>
      <c r="F20" s="144">
        <f>D20*'Daftar HPP'!$G$37</f>
        <v>388</v>
      </c>
      <c r="H20" s="141">
        <v>3</v>
      </c>
      <c r="I20" s="142" t="s">
        <v>30</v>
      </c>
      <c r="J20" s="141">
        <v>1</v>
      </c>
      <c r="K20" s="141" t="s">
        <v>23</v>
      </c>
      <c r="L20" s="144">
        <f>J20*'Daftar HPP'!$G$38</f>
        <v>810</v>
      </c>
    </row>
    <row r="21" spans="2:12" x14ac:dyDescent="0.45">
      <c r="C21" s="145"/>
      <c r="D21" s="254" t="s">
        <v>53</v>
      </c>
      <c r="E21" s="254"/>
      <c r="F21" s="146">
        <f>SUM(F18:F20)</f>
        <v>5322.4811238184157</v>
      </c>
      <c r="I21" s="145"/>
      <c r="J21" s="254" t="s">
        <v>53</v>
      </c>
      <c r="K21" s="254"/>
      <c r="L21" s="146">
        <f ca="1">SUM(L18:L20)</f>
        <v>10506.067510794725</v>
      </c>
    </row>
    <row r="22" spans="2:12" x14ac:dyDescent="0.45">
      <c r="D22" s="256" t="s">
        <v>116</v>
      </c>
      <c r="E22" s="256"/>
      <c r="F22" s="147">
        <v>10000</v>
      </c>
      <c r="J22" s="256" t="s">
        <v>116</v>
      </c>
      <c r="K22" s="256"/>
      <c r="L22" s="147">
        <v>16000</v>
      </c>
    </row>
    <row r="23" spans="2:12" x14ac:dyDescent="0.45">
      <c r="D23" s="256" t="s">
        <v>119</v>
      </c>
      <c r="E23" s="256"/>
      <c r="F23" s="148">
        <f>F22-F21</f>
        <v>4677.5188761815843</v>
      </c>
      <c r="J23" s="256" t="s">
        <v>119</v>
      </c>
      <c r="K23" s="256"/>
      <c r="L23" s="148">
        <f ca="1">L22-L21</f>
        <v>5493.9324892052755</v>
      </c>
    </row>
    <row r="25" spans="2:12" x14ac:dyDescent="0.45">
      <c r="B25" s="140" t="s">
        <v>189</v>
      </c>
      <c r="H25" s="140" t="s">
        <v>189</v>
      </c>
    </row>
    <row r="26" spans="2:12" ht="14.65" thickBot="1" x14ac:dyDescent="0.5">
      <c r="B26" t="s">
        <v>190</v>
      </c>
      <c r="H26" t="s">
        <v>190</v>
      </c>
    </row>
    <row r="27" spans="2:12" x14ac:dyDescent="0.45">
      <c r="B27" s="119" t="s">
        <v>0</v>
      </c>
      <c r="C27" s="119" t="s">
        <v>49</v>
      </c>
      <c r="D27" s="119" t="s">
        <v>34</v>
      </c>
      <c r="E27" s="119" t="s">
        <v>50</v>
      </c>
      <c r="F27" s="119" t="s">
        <v>36</v>
      </c>
      <c r="H27" s="119" t="s">
        <v>0</v>
      </c>
      <c r="I27" s="119" t="s">
        <v>49</v>
      </c>
      <c r="J27" s="119" t="s">
        <v>34</v>
      </c>
      <c r="K27" s="119" t="s">
        <v>50</v>
      </c>
      <c r="L27" s="119" t="s">
        <v>36</v>
      </c>
    </row>
    <row r="28" spans="2:12" x14ac:dyDescent="0.45">
      <c r="B28" s="141">
        <v>1</v>
      </c>
      <c r="C28" s="142" t="s">
        <v>75</v>
      </c>
      <c r="D28" s="141">
        <v>1</v>
      </c>
      <c r="E28" s="141" t="s">
        <v>118</v>
      </c>
      <c r="F28" s="143">
        <f>D28*'Daftar HPP'!$L$81</f>
        <v>3763.1792896876341</v>
      </c>
      <c r="H28" s="141">
        <v>1</v>
      </c>
      <c r="I28" s="142" t="s">
        <v>75</v>
      </c>
      <c r="J28" s="141">
        <v>1</v>
      </c>
      <c r="K28" s="141" t="s">
        <v>118</v>
      </c>
      <c r="L28" s="143">
        <f ca="1">J28*$L$38</f>
        <v>7218.4638425331623</v>
      </c>
    </row>
    <row r="29" spans="2:12" x14ac:dyDescent="0.45">
      <c r="B29" s="141">
        <v>2</v>
      </c>
      <c r="C29" s="142" t="s">
        <v>18</v>
      </c>
      <c r="D29" s="141">
        <v>25</v>
      </c>
      <c r="E29" s="141" t="s">
        <v>8</v>
      </c>
      <c r="F29" s="143">
        <f>D29*'Daftar HPP'!$F$123</f>
        <v>1153.3094098883571</v>
      </c>
      <c r="H29" s="141">
        <v>2</v>
      </c>
      <c r="I29" s="142" t="s">
        <v>18</v>
      </c>
      <c r="J29" s="141">
        <v>50</v>
      </c>
      <c r="K29" s="141" t="s">
        <v>8</v>
      </c>
      <c r="L29" s="143">
        <f>J29*'Daftar HPP'!$F$123</f>
        <v>2306.6188197767142</v>
      </c>
    </row>
    <row r="30" spans="2:12" x14ac:dyDescent="0.45">
      <c r="B30" s="141">
        <v>3</v>
      </c>
      <c r="C30" s="142" t="s">
        <v>29</v>
      </c>
      <c r="D30" s="141">
        <v>1</v>
      </c>
      <c r="E30" s="141" t="s">
        <v>23</v>
      </c>
      <c r="F30" s="144">
        <f>D30*'Daftar HPP'!$G$37</f>
        <v>388</v>
      </c>
      <c r="H30" s="141">
        <v>3</v>
      </c>
      <c r="I30" s="142" t="s">
        <v>30</v>
      </c>
      <c r="J30" s="141">
        <v>1</v>
      </c>
      <c r="K30" s="141" t="s">
        <v>23</v>
      </c>
      <c r="L30" s="144">
        <f>J30*'Daftar HPP'!$G$38</f>
        <v>810</v>
      </c>
    </row>
    <row r="31" spans="2:12" x14ac:dyDescent="0.45">
      <c r="C31" s="145"/>
      <c r="D31" s="254" t="s">
        <v>53</v>
      </c>
      <c r="E31" s="254"/>
      <c r="F31" s="146">
        <f>SUM(F28:F30)</f>
        <v>5304.4886995759916</v>
      </c>
      <c r="I31" s="145"/>
      <c r="J31" s="254" t="s">
        <v>53</v>
      </c>
      <c r="K31" s="254"/>
      <c r="L31" s="146">
        <f ca="1">SUM(L28:L30)</f>
        <v>10470.082662309876</v>
      </c>
    </row>
    <row r="32" spans="2:12" x14ac:dyDescent="0.45">
      <c r="D32" s="256" t="s">
        <v>116</v>
      </c>
      <c r="E32" s="256"/>
      <c r="F32" s="147">
        <v>10000</v>
      </c>
      <c r="J32" s="256" t="s">
        <v>116</v>
      </c>
      <c r="K32" s="256"/>
      <c r="L32" s="147">
        <v>16000</v>
      </c>
    </row>
    <row r="33" spans="2:12" x14ac:dyDescent="0.45">
      <c r="D33" s="256" t="s">
        <v>119</v>
      </c>
      <c r="E33" s="256"/>
      <c r="F33" s="148">
        <f>F32-F31</f>
        <v>4695.5113004240084</v>
      </c>
      <c r="J33" s="256" t="s">
        <v>119</v>
      </c>
      <c r="K33" s="256"/>
      <c r="L33" s="148">
        <f ca="1">L32-L31</f>
        <v>5529.9173376901235</v>
      </c>
    </row>
    <row r="35" spans="2:12" x14ac:dyDescent="0.45">
      <c r="B35" s="140" t="s">
        <v>191</v>
      </c>
      <c r="H35" s="140" t="s">
        <v>191</v>
      </c>
    </row>
    <row r="36" spans="2:12" ht="14.65" thickBot="1" x14ac:dyDescent="0.5">
      <c r="B36" t="s">
        <v>187</v>
      </c>
      <c r="H36" t="s">
        <v>187</v>
      </c>
    </row>
    <row r="37" spans="2:12" x14ac:dyDescent="0.45">
      <c r="B37" s="119" t="s">
        <v>0</v>
      </c>
      <c r="C37" s="119" t="s">
        <v>49</v>
      </c>
      <c r="D37" s="119" t="s">
        <v>34</v>
      </c>
      <c r="E37" s="119" t="s">
        <v>50</v>
      </c>
      <c r="F37" s="119" t="s">
        <v>36</v>
      </c>
      <c r="H37" s="119" t="s">
        <v>0</v>
      </c>
      <c r="I37" s="119" t="s">
        <v>49</v>
      </c>
      <c r="J37" s="119" t="s">
        <v>34</v>
      </c>
      <c r="K37" s="119" t="s">
        <v>50</v>
      </c>
      <c r="L37" s="119" t="s">
        <v>36</v>
      </c>
    </row>
    <row r="38" spans="2:12" x14ac:dyDescent="0.45">
      <c r="B38" s="141">
        <v>1</v>
      </c>
      <c r="C38" s="142" t="s">
        <v>75</v>
      </c>
      <c r="D38" s="141">
        <v>1</v>
      </c>
      <c r="E38" s="141" t="s">
        <v>118</v>
      </c>
      <c r="F38" s="143">
        <f>D38*'Daftar HPP'!$L$81</f>
        <v>3763.1792896876341</v>
      </c>
      <c r="H38" s="141">
        <v>1</v>
      </c>
      <c r="I38" s="142" t="s">
        <v>75</v>
      </c>
      <c r="J38" s="141">
        <v>1</v>
      </c>
      <c r="K38" s="141" t="s">
        <v>118</v>
      </c>
      <c r="L38" s="143">
        <f ca="1">J38*$L$38</f>
        <v>7218.4638425331623</v>
      </c>
    </row>
    <row r="39" spans="2:12" x14ac:dyDescent="0.45">
      <c r="B39" s="141">
        <v>2</v>
      </c>
      <c r="C39" s="142" t="s">
        <v>21</v>
      </c>
      <c r="D39" s="141">
        <v>25</v>
      </c>
      <c r="E39" s="141" t="s">
        <v>8</v>
      </c>
      <c r="F39" s="143">
        <f>D39*'Daftar HPP'!$F$131</f>
        <v>1081.3397129186603</v>
      </c>
      <c r="H39" s="141">
        <v>2</v>
      </c>
      <c r="I39" s="142" t="s">
        <v>21</v>
      </c>
      <c r="J39" s="141">
        <v>50</v>
      </c>
      <c r="K39" s="141" t="s">
        <v>8</v>
      </c>
      <c r="L39" s="143">
        <f>J39*'Daftar HPP'!$F$131</f>
        <v>2162.6794258373207</v>
      </c>
    </row>
    <row r="40" spans="2:12" x14ac:dyDescent="0.45">
      <c r="B40" s="141">
        <v>3</v>
      </c>
      <c r="C40" s="142" t="s">
        <v>29</v>
      </c>
      <c r="D40" s="141">
        <v>1</v>
      </c>
      <c r="E40" s="141" t="s">
        <v>23</v>
      </c>
      <c r="F40" s="144">
        <f>D40*'Daftar HPP'!$G$37</f>
        <v>388</v>
      </c>
      <c r="H40" s="141">
        <v>3</v>
      </c>
      <c r="I40" s="142" t="s">
        <v>30</v>
      </c>
      <c r="J40" s="141">
        <v>1</v>
      </c>
      <c r="K40" s="141" t="s">
        <v>23</v>
      </c>
      <c r="L40" s="144">
        <f>J40*'Daftar HPP'!$G$38</f>
        <v>810</v>
      </c>
    </row>
    <row r="41" spans="2:12" x14ac:dyDescent="0.45">
      <c r="C41" s="145"/>
      <c r="D41" s="254" t="s">
        <v>53</v>
      </c>
      <c r="E41" s="254"/>
      <c r="F41" s="146">
        <f>SUM(F38:F40)</f>
        <v>5232.5190026062946</v>
      </c>
      <c r="I41" s="145"/>
      <c r="J41" s="254" t="s">
        <v>53</v>
      </c>
      <c r="K41" s="254"/>
      <c r="L41" s="146">
        <f ca="1">SUM(L38:L40)</f>
        <v>10326.143268370482</v>
      </c>
    </row>
    <row r="42" spans="2:12" x14ac:dyDescent="0.45">
      <c r="D42" s="256" t="s">
        <v>116</v>
      </c>
      <c r="E42" s="256"/>
      <c r="F42" s="147">
        <v>10000</v>
      </c>
      <c r="J42" s="256" t="s">
        <v>116</v>
      </c>
      <c r="K42" s="256"/>
      <c r="L42" s="147">
        <v>16000</v>
      </c>
    </row>
    <row r="43" spans="2:12" x14ac:dyDescent="0.45">
      <c r="D43" s="256" t="s">
        <v>119</v>
      </c>
      <c r="E43" s="256"/>
      <c r="F43" s="148">
        <f>F42-F41</f>
        <v>4767.4809973937054</v>
      </c>
      <c r="J43" s="256" t="s">
        <v>119</v>
      </c>
      <c r="K43" s="256"/>
      <c r="L43" s="148">
        <f ca="1">L42-L41</f>
        <v>5673.8567316295175</v>
      </c>
    </row>
    <row r="45" spans="2:12" x14ac:dyDescent="0.45">
      <c r="B45" s="140" t="s">
        <v>192</v>
      </c>
      <c r="H45" s="140" t="s">
        <v>192</v>
      </c>
    </row>
    <row r="46" spans="2:12" ht="14.65" thickBot="1" x14ac:dyDescent="0.5">
      <c r="B46" t="s">
        <v>193</v>
      </c>
      <c r="H46" t="s">
        <v>193</v>
      </c>
    </row>
    <row r="47" spans="2:12" x14ac:dyDescent="0.45">
      <c r="B47" s="119" t="s">
        <v>0</v>
      </c>
      <c r="C47" s="119" t="s">
        <v>49</v>
      </c>
      <c r="D47" s="119" t="s">
        <v>34</v>
      </c>
      <c r="E47" s="119" t="s">
        <v>50</v>
      </c>
      <c r="F47" s="119" t="s">
        <v>36</v>
      </c>
      <c r="H47" s="119" t="s">
        <v>0</v>
      </c>
      <c r="I47" s="119" t="s">
        <v>49</v>
      </c>
      <c r="J47" s="119" t="s">
        <v>34</v>
      </c>
      <c r="K47" s="119" t="s">
        <v>50</v>
      </c>
      <c r="L47" s="119" t="s">
        <v>36</v>
      </c>
    </row>
    <row r="48" spans="2:12" x14ac:dyDescent="0.45">
      <c r="B48" s="141">
        <v>1</v>
      </c>
      <c r="C48" s="142" t="s">
        <v>75</v>
      </c>
      <c r="D48" s="141">
        <v>1</v>
      </c>
      <c r="E48" s="141" t="s">
        <v>118</v>
      </c>
      <c r="F48" s="143">
        <f>D48*'Daftar HPP'!$L$81</f>
        <v>3763.1792896876341</v>
      </c>
      <c r="H48" s="141">
        <v>1</v>
      </c>
      <c r="I48" s="142" t="s">
        <v>75</v>
      </c>
      <c r="J48" s="141">
        <v>1</v>
      </c>
      <c r="K48" s="141" t="s">
        <v>118</v>
      </c>
      <c r="L48" s="143">
        <f ca="1">J48*$L$38</f>
        <v>7218.4638425331623</v>
      </c>
    </row>
    <row r="49" spans="2:12" x14ac:dyDescent="0.45">
      <c r="B49" s="141">
        <v>2</v>
      </c>
      <c r="C49" s="142" t="s">
        <v>19</v>
      </c>
      <c r="D49" s="141">
        <v>25</v>
      </c>
      <c r="E49" s="141" t="s">
        <v>8</v>
      </c>
      <c r="F49" s="143">
        <f>D49*'Daftar HPP'!$L$114</f>
        <v>1117.3245614035088</v>
      </c>
      <c r="H49" s="141">
        <v>2</v>
      </c>
      <c r="I49" s="142" t="s">
        <v>19</v>
      </c>
      <c r="J49" s="141">
        <v>50</v>
      </c>
      <c r="K49" s="141" t="s">
        <v>8</v>
      </c>
      <c r="L49" s="143">
        <f>J49*'Daftar HPP'!$L$114</f>
        <v>2234.6491228070176</v>
      </c>
    </row>
    <row r="50" spans="2:12" x14ac:dyDescent="0.45">
      <c r="B50" s="141">
        <v>3</v>
      </c>
      <c r="C50" s="142" t="s">
        <v>29</v>
      </c>
      <c r="D50" s="141">
        <v>1</v>
      </c>
      <c r="E50" s="141" t="s">
        <v>23</v>
      </c>
      <c r="F50" s="144">
        <f>D50*'Daftar HPP'!$G$37</f>
        <v>388</v>
      </c>
      <c r="H50" s="141">
        <v>3</v>
      </c>
      <c r="I50" s="142" t="s">
        <v>30</v>
      </c>
      <c r="J50" s="141">
        <v>1</v>
      </c>
      <c r="K50" s="141" t="s">
        <v>23</v>
      </c>
      <c r="L50" s="144">
        <f>J50*'Daftar HPP'!$G$38</f>
        <v>810</v>
      </c>
    </row>
    <row r="51" spans="2:12" x14ac:dyDescent="0.45">
      <c r="C51" s="145"/>
      <c r="D51" s="254" t="s">
        <v>53</v>
      </c>
      <c r="E51" s="254"/>
      <c r="F51" s="146">
        <f>SUM(F48:F50)</f>
        <v>5268.5038510911427</v>
      </c>
      <c r="I51" s="145"/>
      <c r="J51" s="254" t="s">
        <v>53</v>
      </c>
      <c r="K51" s="254"/>
      <c r="L51" s="146">
        <f ca="1">SUM(L48:L50)</f>
        <v>10398.11296534018</v>
      </c>
    </row>
    <row r="52" spans="2:12" x14ac:dyDescent="0.45">
      <c r="D52" s="256" t="s">
        <v>116</v>
      </c>
      <c r="E52" s="256"/>
      <c r="F52" s="147">
        <v>10000</v>
      </c>
      <c r="J52" s="256" t="s">
        <v>116</v>
      </c>
      <c r="K52" s="256"/>
      <c r="L52" s="147">
        <v>16000</v>
      </c>
    </row>
    <row r="53" spans="2:12" x14ac:dyDescent="0.45">
      <c r="D53" s="256" t="s">
        <v>119</v>
      </c>
      <c r="E53" s="256"/>
      <c r="F53" s="148">
        <f>F52-F51</f>
        <v>4731.4961489088573</v>
      </c>
      <c r="J53" s="256" t="s">
        <v>119</v>
      </c>
      <c r="K53" s="256"/>
      <c r="L53" s="148">
        <f ca="1">L52-L51</f>
        <v>5601.8870346598196</v>
      </c>
    </row>
    <row r="55" spans="2:12" x14ac:dyDescent="0.45">
      <c r="B55" s="140" t="s">
        <v>194</v>
      </c>
      <c r="H55" s="140" t="s">
        <v>194</v>
      </c>
    </row>
    <row r="56" spans="2:12" ht="14.65" thickBot="1" x14ac:dyDescent="0.5">
      <c r="B56" t="s">
        <v>193</v>
      </c>
      <c r="H56" t="s">
        <v>193</v>
      </c>
    </row>
    <row r="57" spans="2:12" x14ac:dyDescent="0.45">
      <c r="B57" s="119" t="s">
        <v>0</v>
      </c>
      <c r="C57" s="119" t="s">
        <v>49</v>
      </c>
      <c r="D57" s="119" t="s">
        <v>34</v>
      </c>
      <c r="E57" s="119" t="s">
        <v>50</v>
      </c>
      <c r="F57" s="119" t="s">
        <v>36</v>
      </c>
      <c r="H57" s="119" t="s">
        <v>0</v>
      </c>
      <c r="I57" s="119" t="s">
        <v>49</v>
      </c>
      <c r="J57" s="119" t="s">
        <v>34</v>
      </c>
      <c r="K57" s="119" t="s">
        <v>50</v>
      </c>
      <c r="L57" s="119" t="s">
        <v>36</v>
      </c>
    </row>
    <row r="58" spans="2:12" x14ac:dyDescent="0.45">
      <c r="B58" s="141">
        <v>1</v>
      </c>
      <c r="C58" s="142" t="s">
        <v>75</v>
      </c>
      <c r="D58" s="141">
        <v>1</v>
      </c>
      <c r="E58" s="141" t="s">
        <v>118</v>
      </c>
      <c r="F58" s="143">
        <f>D58*'Daftar HPP'!$L$81</f>
        <v>3763.1792896876341</v>
      </c>
      <c r="H58" s="141">
        <v>1</v>
      </c>
      <c r="I58" s="142" t="s">
        <v>75</v>
      </c>
      <c r="J58" s="141">
        <v>1</v>
      </c>
      <c r="K58" s="141" t="s">
        <v>118</v>
      </c>
      <c r="L58" s="143">
        <f ca="1">J58*$L$38</f>
        <v>7218.4638425331623</v>
      </c>
    </row>
    <row r="59" spans="2:12" x14ac:dyDescent="0.45">
      <c r="B59" s="141">
        <v>2</v>
      </c>
      <c r="C59" s="142" t="s">
        <v>17</v>
      </c>
      <c r="D59" s="141">
        <v>25</v>
      </c>
      <c r="E59" s="141" t="s">
        <v>8</v>
      </c>
      <c r="F59" s="143">
        <f>D59*'Daftar HPP'!$L$122</f>
        <v>901.31578947368428</v>
      </c>
      <c r="H59" s="141">
        <v>2</v>
      </c>
      <c r="I59" s="142" t="s">
        <v>17</v>
      </c>
      <c r="J59" s="141">
        <v>50</v>
      </c>
      <c r="K59" s="141" t="s">
        <v>8</v>
      </c>
      <c r="L59" s="143">
        <f>J59*'Daftar HPP'!$L$122</f>
        <v>1802.6315789473686</v>
      </c>
    </row>
    <row r="60" spans="2:12" x14ac:dyDescent="0.45">
      <c r="B60" s="141">
        <v>3</v>
      </c>
      <c r="C60" s="142" t="s">
        <v>29</v>
      </c>
      <c r="D60" s="141">
        <v>1</v>
      </c>
      <c r="E60" s="141" t="s">
        <v>23</v>
      </c>
      <c r="F60" s="144">
        <f>D60*'Daftar HPP'!$G$37</f>
        <v>388</v>
      </c>
      <c r="H60" s="141">
        <v>3</v>
      </c>
      <c r="I60" s="142" t="s">
        <v>30</v>
      </c>
      <c r="J60" s="141">
        <v>1</v>
      </c>
      <c r="K60" s="141" t="s">
        <v>23</v>
      </c>
      <c r="L60" s="144">
        <f>J60*'Daftar HPP'!$G$38</f>
        <v>810</v>
      </c>
    </row>
    <row r="61" spans="2:12" x14ac:dyDescent="0.45">
      <c r="C61" s="145"/>
      <c r="D61" s="254" t="s">
        <v>53</v>
      </c>
      <c r="E61" s="254"/>
      <c r="F61" s="146">
        <f>SUM(F58:F60)</f>
        <v>5052.4950791613182</v>
      </c>
      <c r="I61" s="145"/>
      <c r="J61" s="254" t="s">
        <v>53</v>
      </c>
      <c r="K61" s="254"/>
      <c r="L61" s="146">
        <f ca="1">SUM(L58:L60)</f>
        <v>9963.9617088205014</v>
      </c>
    </row>
    <row r="62" spans="2:12" x14ac:dyDescent="0.45">
      <c r="D62" s="256" t="s">
        <v>116</v>
      </c>
      <c r="E62" s="256"/>
      <c r="F62" s="147">
        <v>10000</v>
      </c>
      <c r="J62" s="256" t="s">
        <v>116</v>
      </c>
      <c r="K62" s="256"/>
      <c r="L62" s="147">
        <v>16000</v>
      </c>
    </row>
    <row r="63" spans="2:12" x14ac:dyDescent="0.45">
      <c r="D63" s="256" t="s">
        <v>119</v>
      </c>
      <c r="E63" s="256"/>
      <c r="F63" s="148">
        <f>F62-F61</f>
        <v>4947.5049208386818</v>
      </c>
      <c r="J63" s="256" t="s">
        <v>119</v>
      </c>
      <c r="K63" s="256"/>
      <c r="L63" s="148">
        <f ca="1">L62-L61</f>
        <v>6036.0382911794986</v>
      </c>
    </row>
    <row r="65" spans="2:12" x14ac:dyDescent="0.45">
      <c r="B65" s="140" t="s">
        <v>195</v>
      </c>
      <c r="H65" s="140" t="s">
        <v>195</v>
      </c>
    </row>
    <row r="66" spans="2:12" ht="14.65" thickBot="1" x14ac:dyDescent="0.5">
      <c r="B66" t="s">
        <v>193</v>
      </c>
      <c r="H66" t="s">
        <v>193</v>
      </c>
    </row>
    <row r="67" spans="2:12" x14ac:dyDescent="0.45">
      <c r="B67" s="119" t="s">
        <v>0</v>
      </c>
      <c r="C67" s="119" t="s">
        <v>49</v>
      </c>
      <c r="D67" s="119" t="s">
        <v>34</v>
      </c>
      <c r="E67" s="119" t="s">
        <v>50</v>
      </c>
      <c r="F67" s="119" t="s">
        <v>36</v>
      </c>
      <c r="H67" s="119" t="s">
        <v>0</v>
      </c>
      <c r="I67" s="119" t="s">
        <v>49</v>
      </c>
      <c r="J67" s="119" t="s">
        <v>34</v>
      </c>
      <c r="K67" s="119" t="s">
        <v>50</v>
      </c>
      <c r="L67" s="119" t="s">
        <v>36</v>
      </c>
    </row>
    <row r="68" spans="2:12" x14ac:dyDescent="0.45">
      <c r="B68" s="141">
        <v>1</v>
      </c>
      <c r="C68" s="142" t="s">
        <v>75</v>
      </c>
      <c r="D68" s="141">
        <v>1</v>
      </c>
      <c r="E68" s="141" t="s">
        <v>118</v>
      </c>
      <c r="F68" s="143">
        <f>D68*'Daftar HPP'!$L$81</f>
        <v>3763.1792896876341</v>
      </c>
      <c r="H68" s="141">
        <v>1</v>
      </c>
      <c r="I68" s="142" t="s">
        <v>75</v>
      </c>
      <c r="J68" s="141">
        <v>1</v>
      </c>
      <c r="K68" s="141" t="s">
        <v>118</v>
      </c>
      <c r="L68" s="143">
        <f ca="1">J68*$L$38</f>
        <v>7218.4638425331623</v>
      </c>
    </row>
    <row r="69" spans="2:12" x14ac:dyDescent="0.45">
      <c r="B69" s="141">
        <v>2</v>
      </c>
      <c r="C69" s="142" t="s">
        <v>25</v>
      </c>
      <c r="D69" s="141">
        <v>25</v>
      </c>
      <c r="E69" s="141" t="s">
        <v>8</v>
      </c>
      <c r="F69" s="143">
        <f>D69*'Daftar HPP'!$G$22</f>
        <v>1662.5</v>
      </c>
      <c r="H69" s="141">
        <v>2</v>
      </c>
      <c r="I69" s="142" t="s">
        <v>25</v>
      </c>
      <c r="J69" s="141">
        <v>50</v>
      </c>
      <c r="K69" s="141" t="s">
        <v>8</v>
      </c>
      <c r="L69" s="143">
        <f>J69*'Daftar HPP'!$G$22</f>
        <v>3325</v>
      </c>
    </row>
    <row r="70" spans="2:12" x14ac:dyDescent="0.45">
      <c r="B70" s="141">
        <v>3</v>
      </c>
      <c r="C70" s="142" t="s">
        <v>29</v>
      </c>
      <c r="D70" s="141">
        <v>1</v>
      </c>
      <c r="E70" s="141" t="s">
        <v>23</v>
      </c>
      <c r="F70" s="144">
        <f>D70*'Daftar HPP'!$G$37</f>
        <v>388</v>
      </c>
      <c r="H70" s="141">
        <v>3</v>
      </c>
      <c r="I70" s="142" t="s">
        <v>30</v>
      </c>
      <c r="J70" s="141">
        <v>1</v>
      </c>
      <c r="K70" s="141" t="s">
        <v>23</v>
      </c>
      <c r="L70" s="144">
        <f>J70*'Daftar HPP'!$G$38</f>
        <v>810</v>
      </c>
    </row>
    <row r="71" spans="2:12" x14ac:dyDescent="0.45">
      <c r="C71" s="145"/>
      <c r="D71" s="254" t="s">
        <v>53</v>
      </c>
      <c r="E71" s="254"/>
      <c r="F71" s="146">
        <f>SUM(F68:F70)</f>
        <v>5813.6792896876341</v>
      </c>
      <c r="I71" s="145"/>
      <c r="J71" s="254" t="s">
        <v>53</v>
      </c>
      <c r="K71" s="254"/>
      <c r="L71" s="146">
        <f ca="1">SUM(L68:L70)</f>
        <v>11488.463842533161</v>
      </c>
    </row>
    <row r="72" spans="2:12" x14ac:dyDescent="0.45">
      <c r="D72" s="256" t="s">
        <v>116</v>
      </c>
      <c r="E72" s="256"/>
      <c r="F72" s="147">
        <v>10000</v>
      </c>
      <c r="J72" s="256" t="s">
        <v>116</v>
      </c>
      <c r="K72" s="256"/>
      <c r="L72" s="147">
        <v>16000</v>
      </c>
    </row>
    <row r="73" spans="2:12" x14ac:dyDescent="0.45">
      <c r="D73" s="256" t="s">
        <v>119</v>
      </c>
      <c r="E73" s="256"/>
      <c r="F73" s="148">
        <f>F72-F71</f>
        <v>4186.3207103123659</v>
      </c>
      <c r="J73" s="256" t="s">
        <v>119</v>
      </c>
      <c r="K73" s="256"/>
      <c r="L73" s="148">
        <f ca="1">L72-L71</f>
        <v>4511.5361574668386</v>
      </c>
    </row>
    <row r="75" spans="2:12" x14ac:dyDescent="0.45">
      <c r="B75" s="140" t="s">
        <v>196</v>
      </c>
      <c r="H75" s="140" t="s">
        <v>196</v>
      </c>
    </row>
    <row r="76" spans="2:12" ht="14.65" thickBot="1" x14ac:dyDescent="0.5">
      <c r="B76" t="s">
        <v>193</v>
      </c>
      <c r="H76" t="s">
        <v>193</v>
      </c>
    </row>
    <row r="77" spans="2:12" x14ac:dyDescent="0.45">
      <c r="B77" s="119" t="s">
        <v>0</v>
      </c>
      <c r="C77" s="119" t="s">
        <v>49</v>
      </c>
      <c r="D77" s="119" t="s">
        <v>34</v>
      </c>
      <c r="E77" s="119" t="s">
        <v>50</v>
      </c>
      <c r="F77" s="119" t="s">
        <v>36</v>
      </c>
      <c r="H77" s="119" t="s">
        <v>0</v>
      </c>
      <c r="I77" s="119" t="s">
        <v>49</v>
      </c>
      <c r="J77" s="119" t="s">
        <v>34</v>
      </c>
      <c r="K77" s="119" t="s">
        <v>50</v>
      </c>
      <c r="L77" s="119" t="s">
        <v>36</v>
      </c>
    </row>
    <row r="78" spans="2:12" x14ac:dyDescent="0.45">
      <c r="B78" s="141">
        <v>1</v>
      </c>
      <c r="C78" s="142" t="s">
        <v>75</v>
      </c>
      <c r="D78" s="141">
        <v>1</v>
      </c>
      <c r="E78" s="141" t="s">
        <v>118</v>
      </c>
      <c r="F78" s="143">
        <f>D78*'Daftar HPP'!$L$81</f>
        <v>3763.1792896876341</v>
      </c>
      <c r="H78" s="141">
        <v>1</v>
      </c>
      <c r="I78" s="142" t="s">
        <v>75</v>
      </c>
      <c r="J78" s="141">
        <v>1</v>
      </c>
      <c r="K78" s="141" t="s">
        <v>118</v>
      </c>
      <c r="L78" s="143">
        <f ca="1">J78*$L$38</f>
        <v>7218.4638425331623</v>
      </c>
    </row>
    <row r="79" spans="2:12" x14ac:dyDescent="0.45">
      <c r="B79" s="141">
        <v>2</v>
      </c>
      <c r="C79" s="142" t="s">
        <v>197</v>
      </c>
      <c r="D79" s="141">
        <v>25</v>
      </c>
      <c r="E79" s="141" t="s">
        <v>8</v>
      </c>
      <c r="F79" s="143">
        <f>D79*'Daftar HPP'!$L$134</f>
        <v>916.84177997527809</v>
      </c>
      <c r="H79" s="141">
        <v>2</v>
      </c>
      <c r="I79" s="142" t="s">
        <v>197</v>
      </c>
      <c r="J79" s="141">
        <v>50</v>
      </c>
      <c r="K79" s="141" t="s">
        <v>8</v>
      </c>
      <c r="L79" s="143">
        <f>J79*'Daftar HPP'!$L$134</f>
        <v>1833.6835599505562</v>
      </c>
    </row>
    <row r="80" spans="2:12" x14ac:dyDescent="0.45">
      <c r="B80" s="141">
        <v>3</v>
      </c>
      <c r="C80" s="142" t="s">
        <v>29</v>
      </c>
      <c r="D80" s="141">
        <v>1</v>
      </c>
      <c r="E80" s="141" t="s">
        <v>23</v>
      </c>
      <c r="F80" s="144">
        <f>D80*'Daftar HPP'!$G$37</f>
        <v>388</v>
      </c>
      <c r="H80" s="141">
        <v>3</v>
      </c>
      <c r="I80" s="142" t="s">
        <v>30</v>
      </c>
      <c r="J80" s="141">
        <v>1</v>
      </c>
      <c r="K80" s="141" t="s">
        <v>23</v>
      </c>
      <c r="L80" s="144">
        <f>J80*'Daftar HPP'!$G$38</f>
        <v>810</v>
      </c>
    </row>
    <row r="81" spans="2:12" x14ac:dyDescent="0.45">
      <c r="C81" s="145"/>
      <c r="D81" s="254" t="s">
        <v>53</v>
      </c>
      <c r="E81" s="254"/>
      <c r="F81" s="146">
        <f>SUM(F78:F80)</f>
        <v>5068.0210696629119</v>
      </c>
      <c r="I81" s="145"/>
      <c r="J81" s="254" t="s">
        <v>53</v>
      </c>
      <c r="K81" s="254"/>
      <c r="L81" s="146">
        <f ca="1">SUM(L78:L80)</f>
        <v>10007.654201000405</v>
      </c>
    </row>
    <row r="82" spans="2:12" x14ac:dyDescent="0.45">
      <c r="D82" s="256" t="s">
        <v>116</v>
      </c>
      <c r="E82" s="256"/>
      <c r="F82" s="147">
        <v>10000</v>
      </c>
      <c r="J82" s="256" t="s">
        <v>116</v>
      </c>
      <c r="K82" s="256"/>
      <c r="L82" s="147">
        <v>16000</v>
      </c>
    </row>
    <row r="83" spans="2:12" x14ac:dyDescent="0.45">
      <c r="D83" s="256" t="s">
        <v>119</v>
      </c>
      <c r="E83" s="256"/>
      <c r="F83" s="148">
        <f>F82-F81</f>
        <v>4931.9789303370881</v>
      </c>
      <c r="J83" s="256" t="s">
        <v>119</v>
      </c>
      <c r="K83" s="256"/>
      <c r="L83" s="148">
        <f ca="1">L82-L81</f>
        <v>5992.345798999595</v>
      </c>
    </row>
    <row r="85" spans="2:12" x14ac:dyDescent="0.45">
      <c r="B85" s="140" t="s">
        <v>198</v>
      </c>
      <c r="H85" s="140"/>
    </row>
    <row r="86" spans="2:12" ht="14.65" thickBot="1" x14ac:dyDescent="0.5">
      <c r="B86" t="s">
        <v>199</v>
      </c>
    </row>
    <row r="87" spans="2:12" x14ac:dyDescent="0.45">
      <c r="B87" s="119" t="s">
        <v>0</v>
      </c>
      <c r="C87" s="119" t="s">
        <v>49</v>
      </c>
      <c r="D87" s="119" t="s">
        <v>34</v>
      </c>
      <c r="E87" s="119" t="s">
        <v>50</v>
      </c>
      <c r="F87" s="119" t="s">
        <v>36</v>
      </c>
      <c r="H87" s="13"/>
      <c r="I87" s="13"/>
      <c r="J87" s="13"/>
      <c r="K87" s="13"/>
      <c r="L87" s="13"/>
    </row>
    <row r="88" spans="2:12" x14ac:dyDescent="0.45">
      <c r="B88" s="141">
        <v>1</v>
      </c>
      <c r="C88" s="142" t="s">
        <v>75</v>
      </c>
      <c r="D88" s="141">
        <v>1</v>
      </c>
      <c r="E88" s="141" t="s">
        <v>118</v>
      </c>
      <c r="F88" s="143">
        <f>D88*'Daftar HPP'!$L$81</f>
        <v>3763.1792896876341</v>
      </c>
      <c r="H88" s="149"/>
      <c r="I88" s="150"/>
      <c r="J88" s="149"/>
      <c r="K88" s="149"/>
      <c r="L88" s="151"/>
    </row>
    <row r="89" spans="2:12" x14ac:dyDescent="0.45">
      <c r="B89" s="141">
        <v>2</v>
      </c>
      <c r="C89" s="142" t="s">
        <v>25</v>
      </c>
      <c r="D89" s="141">
        <v>25</v>
      </c>
      <c r="E89" s="141" t="s">
        <v>8</v>
      </c>
      <c r="F89" s="143">
        <f>D89*'Daftar HPP'!$G$22</f>
        <v>1662.5</v>
      </c>
      <c r="H89" s="149"/>
      <c r="I89" s="150"/>
      <c r="J89" s="149"/>
      <c r="K89" s="149"/>
      <c r="L89" s="151"/>
    </row>
    <row r="90" spans="2:12" x14ac:dyDescent="0.45">
      <c r="B90" s="141">
        <v>3</v>
      </c>
      <c r="C90" s="142" t="s">
        <v>18</v>
      </c>
      <c r="D90" s="141">
        <v>25</v>
      </c>
      <c r="E90" s="141" t="s">
        <v>8</v>
      </c>
      <c r="F90" s="143">
        <f>D90*'Daftar HPP'!$F$123</f>
        <v>1153.3094098883571</v>
      </c>
      <c r="H90" s="149"/>
      <c r="I90" s="150"/>
      <c r="J90" s="149"/>
      <c r="K90" s="149"/>
      <c r="L90" s="151"/>
    </row>
    <row r="91" spans="2:12" x14ac:dyDescent="0.45">
      <c r="B91" s="141">
        <v>4</v>
      </c>
      <c r="C91" s="152" t="s">
        <v>65</v>
      </c>
      <c r="D91" s="141">
        <v>1</v>
      </c>
      <c r="E91" s="141" t="s">
        <v>23</v>
      </c>
      <c r="F91" s="144">
        <f>D91*'Daftar HPP'!$G$40</f>
        <v>2500</v>
      </c>
      <c r="H91" s="149"/>
      <c r="I91" s="153"/>
      <c r="J91" s="149"/>
      <c r="K91" s="149"/>
      <c r="L91" s="154"/>
    </row>
    <row r="92" spans="2:12" x14ac:dyDescent="0.45">
      <c r="C92" s="145"/>
      <c r="D92" s="257" t="s">
        <v>53</v>
      </c>
      <c r="E92" s="258"/>
      <c r="F92" s="146">
        <f>SUM(F88:F91)</f>
        <v>9078.9886995759916</v>
      </c>
      <c r="I92" s="145"/>
      <c r="J92" s="255"/>
      <c r="K92" s="255"/>
      <c r="L92" s="155"/>
    </row>
    <row r="93" spans="2:12" x14ac:dyDescent="0.45">
      <c r="D93" s="251" t="s">
        <v>116</v>
      </c>
      <c r="E93" s="252"/>
      <c r="F93" s="147">
        <v>16000</v>
      </c>
      <c r="J93" s="253"/>
      <c r="K93" s="253"/>
      <c r="L93" s="156"/>
    </row>
    <row r="94" spans="2:12" x14ac:dyDescent="0.45">
      <c r="D94" s="251" t="s">
        <v>119</v>
      </c>
      <c r="E94" s="252"/>
      <c r="F94" s="148">
        <f>F93-F92</f>
        <v>6921.0113004240084</v>
      </c>
      <c r="J94" s="253"/>
      <c r="K94" s="253"/>
      <c r="L94" s="157"/>
    </row>
    <row r="96" spans="2:12" x14ac:dyDescent="0.45">
      <c r="B96" s="140" t="s">
        <v>200</v>
      </c>
      <c r="H96" s="140"/>
    </row>
    <row r="97" spans="2:12" ht="14.65" thickBot="1" x14ac:dyDescent="0.5">
      <c r="B97" t="s">
        <v>201</v>
      </c>
    </row>
    <row r="98" spans="2:12" x14ac:dyDescent="0.45">
      <c r="B98" s="119" t="s">
        <v>0</v>
      </c>
      <c r="C98" s="119" t="s">
        <v>49</v>
      </c>
      <c r="D98" s="119" t="s">
        <v>34</v>
      </c>
      <c r="E98" s="119" t="s">
        <v>50</v>
      </c>
      <c r="F98" s="119" t="s">
        <v>36</v>
      </c>
      <c r="H98" s="13"/>
      <c r="I98" s="13"/>
      <c r="J98" s="13"/>
      <c r="K98" s="13"/>
      <c r="L98" s="13"/>
    </row>
    <row r="99" spans="2:12" x14ac:dyDescent="0.45">
      <c r="B99" s="141">
        <v>1</v>
      </c>
      <c r="C99" s="142" t="s">
        <v>75</v>
      </c>
      <c r="D99" s="141">
        <v>1</v>
      </c>
      <c r="E99" s="141" t="s">
        <v>118</v>
      </c>
      <c r="F99" s="143">
        <f>D99*'Daftar HPP'!$L$81</f>
        <v>3763.1792896876341</v>
      </c>
      <c r="H99" s="149"/>
      <c r="I99" s="150"/>
      <c r="J99" s="149"/>
      <c r="K99" s="149"/>
      <c r="L99" s="151"/>
    </row>
    <row r="100" spans="2:12" x14ac:dyDescent="0.45">
      <c r="B100" s="141">
        <v>2</v>
      </c>
      <c r="C100" s="142" t="s">
        <v>24</v>
      </c>
      <c r="D100" s="141">
        <v>15</v>
      </c>
      <c r="E100" s="141" t="s">
        <v>8</v>
      </c>
      <c r="F100" s="143">
        <f>D100*'Daftar HPP'!$G$21</f>
        <v>2437.5</v>
      </c>
      <c r="H100" s="149"/>
      <c r="I100" s="150"/>
      <c r="J100" s="149"/>
      <c r="K100" s="149"/>
      <c r="L100" s="151"/>
    </row>
    <row r="101" spans="2:12" x14ac:dyDescent="0.45">
      <c r="B101" s="141">
        <v>3</v>
      </c>
      <c r="C101" s="142" t="s">
        <v>18</v>
      </c>
      <c r="D101" s="141">
        <v>25</v>
      </c>
      <c r="E101" s="141" t="s">
        <v>8</v>
      </c>
      <c r="F101" s="143">
        <f>D101*'Daftar HPP'!$F$123</f>
        <v>1153.3094098883571</v>
      </c>
      <c r="H101" s="149"/>
      <c r="I101" s="150"/>
      <c r="J101" s="149"/>
      <c r="K101" s="149"/>
      <c r="L101" s="151"/>
    </row>
    <row r="102" spans="2:12" x14ac:dyDescent="0.45">
      <c r="B102" s="141">
        <v>4</v>
      </c>
      <c r="C102" s="152" t="s">
        <v>65</v>
      </c>
      <c r="D102" s="141">
        <v>1</v>
      </c>
      <c r="E102" s="141" t="s">
        <v>23</v>
      </c>
      <c r="F102" s="144">
        <f>D102*'Daftar HPP'!$G$40</f>
        <v>2500</v>
      </c>
      <c r="H102" s="149"/>
      <c r="I102" s="153"/>
      <c r="J102" s="149"/>
      <c r="K102" s="149"/>
      <c r="L102" s="154"/>
    </row>
    <row r="103" spans="2:12" x14ac:dyDescent="0.45">
      <c r="C103" s="145"/>
      <c r="D103" s="254" t="s">
        <v>53</v>
      </c>
      <c r="E103" s="254"/>
      <c r="F103" s="146">
        <f>SUM(F99:F102)</f>
        <v>9853.9886995759916</v>
      </c>
      <c r="I103" s="145"/>
      <c r="J103" s="255"/>
      <c r="K103" s="255"/>
      <c r="L103" s="155"/>
    </row>
    <row r="104" spans="2:12" x14ac:dyDescent="0.45">
      <c r="D104" s="256" t="s">
        <v>116</v>
      </c>
      <c r="E104" s="256"/>
      <c r="F104" s="147">
        <v>16000</v>
      </c>
      <c r="J104" s="253"/>
      <c r="K104" s="253"/>
      <c r="L104" s="156"/>
    </row>
    <row r="105" spans="2:12" x14ac:dyDescent="0.45">
      <c r="D105" s="256" t="s">
        <v>119</v>
      </c>
      <c r="E105" s="256"/>
      <c r="F105" s="148">
        <f>F104-F103</f>
        <v>6146.0113004240084</v>
      </c>
      <c r="J105" s="253"/>
      <c r="K105" s="253"/>
      <c r="L105" s="157"/>
    </row>
    <row r="107" spans="2:12" x14ac:dyDescent="0.45">
      <c r="B107" s="2" t="s">
        <v>202</v>
      </c>
    </row>
    <row r="108" spans="2:12" x14ac:dyDescent="0.45">
      <c r="B108" s="122" t="s">
        <v>0</v>
      </c>
      <c r="C108" s="122" t="s">
        <v>125</v>
      </c>
      <c r="D108" s="122" t="s">
        <v>34</v>
      </c>
      <c r="E108" s="122" t="s">
        <v>50</v>
      </c>
      <c r="F108" s="123" t="s">
        <v>126</v>
      </c>
      <c r="G108" s="124" t="s">
        <v>119</v>
      </c>
      <c r="H108" s="241" t="s">
        <v>127</v>
      </c>
      <c r="I108" s="241"/>
    </row>
    <row r="109" spans="2:12" x14ac:dyDescent="0.45">
      <c r="B109" s="158">
        <v>1</v>
      </c>
      <c r="C109" s="128" t="s">
        <v>203</v>
      </c>
      <c r="D109" s="141">
        <v>1</v>
      </c>
      <c r="E109" s="141" t="s">
        <v>118</v>
      </c>
      <c r="F109" s="143">
        <f>F10</f>
        <v>4651.1792896876341</v>
      </c>
      <c r="G109" s="144">
        <f>H109-F109</f>
        <v>3348.8207103123659</v>
      </c>
      <c r="H109" s="248">
        <f>F11</f>
        <v>8000</v>
      </c>
      <c r="I109" s="250"/>
    </row>
    <row r="110" spans="2:12" x14ac:dyDescent="0.45">
      <c r="B110" s="158">
        <v>2</v>
      </c>
      <c r="C110" s="128" t="s">
        <v>204</v>
      </c>
      <c r="D110" s="141">
        <v>1</v>
      </c>
      <c r="E110" s="141" t="s">
        <v>118</v>
      </c>
      <c r="F110" s="143">
        <f>F21</f>
        <v>5322.4811238184157</v>
      </c>
      <c r="G110" s="144">
        <f>H110-F110</f>
        <v>4677.5188761815843</v>
      </c>
      <c r="H110" s="246">
        <f>F22</f>
        <v>10000</v>
      </c>
      <c r="I110" s="247"/>
    </row>
    <row r="111" spans="2:12" x14ac:dyDescent="0.45">
      <c r="B111" s="158">
        <v>3</v>
      </c>
      <c r="C111" s="128" t="s">
        <v>205</v>
      </c>
      <c r="D111" s="141">
        <v>1</v>
      </c>
      <c r="E111" s="141" t="s">
        <v>118</v>
      </c>
      <c r="F111" s="143">
        <f>F31</f>
        <v>5304.4886995759916</v>
      </c>
      <c r="G111" s="144">
        <f t="shared" ref="G111:G118" si="0">H111-F111</f>
        <v>4695.5113004240084</v>
      </c>
      <c r="H111" s="246">
        <f>F32</f>
        <v>10000</v>
      </c>
      <c r="I111" s="247"/>
    </row>
    <row r="112" spans="2:12" x14ac:dyDescent="0.45">
      <c r="B112" s="158">
        <v>4</v>
      </c>
      <c r="C112" s="128" t="s">
        <v>206</v>
      </c>
      <c r="D112" s="141">
        <v>1</v>
      </c>
      <c r="E112" s="141" t="s">
        <v>118</v>
      </c>
      <c r="F112" s="143">
        <f>F41</f>
        <v>5232.5190026062946</v>
      </c>
      <c r="G112" s="144">
        <f t="shared" si="0"/>
        <v>4767.4809973937054</v>
      </c>
      <c r="H112" s="246">
        <f>F42</f>
        <v>10000</v>
      </c>
      <c r="I112" s="247"/>
    </row>
    <row r="113" spans="2:9" x14ac:dyDescent="0.45">
      <c r="B113" s="158">
        <v>5</v>
      </c>
      <c r="C113" s="128" t="s">
        <v>207</v>
      </c>
      <c r="D113" s="141">
        <v>1</v>
      </c>
      <c r="E113" s="141" t="s">
        <v>118</v>
      </c>
      <c r="F113" s="143">
        <f>F51</f>
        <v>5268.5038510911427</v>
      </c>
      <c r="G113" s="144">
        <f t="shared" si="0"/>
        <v>4731.4961489088573</v>
      </c>
      <c r="H113" s="246">
        <f>F52</f>
        <v>10000</v>
      </c>
      <c r="I113" s="247"/>
    </row>
    <row r="114" spans="2:9" x14ac:dyDescent="0.45">
      <c r="B114" s="158">
        <v>6</v>
      </c>
      <c r="C114" s="128" t="s">
        <v>208</v>
      </c>
      <c r="D114" s="141">
        <v>1</v>
      </c>
      <c r="E114" s="141" t="s">
        <v>118</v>
      </c>
      <c r="F114" s="143">
        <f>F61</f>
        <v>5052.4950791613182</v>
      </c>
      <c r="G114" s="144">
        <f t="shared" si="0"/>
        <v>4947.5049208386818</v>
      </c>
      <c r="H114" s="246">
        <f>F62</f>
        <v>10000</v>
      </c>
      <c r="I114" s="247"/>
    </row>
    <row r="115" spans="2:9" x14ac:dyDescent="0.45">
      <c r="B115" s="158">
        <v>7</v>
      </c>
      <c r="C115" s="128" t="s">
        <v>209</v>
      </c>
      <c r="D115" s="141">
        <v>1</v>
      </c>
      <c r="E115" s="141" t="s">
        <v>118</v>
      </c>
      <c r="F115" s="143">
        <f>F71</f>
        <v>5813.6792896876341</v>
      </c>
      <c r="G115" s="144">
        <f t="shared" si="0"/>
        <v>4186.3207103123659</v>
      </c>
      <c r="H115" s="246">
        <f>F72</f>
        <v>10000</v>
      </c>
      <c r="I115" s="247"/>
    </row>
    <row r="116" spans="2:9" x14ac:dyDescent="0.45">
      <c r="B116" s="158">
        <v>8</v>
      </c>
      <c r="C116" s="128" t="s">
        <v>210</v>
      </c>
      <c r="D116" s="141">
        <v>1</v>
      </c>
      <c r="E116" s="141" t="s">
        <v>118</v>
      </c>
      <c r="F116" s="143">
        <f>F81</f>
        <v>5068.0210696629119</v>
      </c>
      <c r="G116" s="144">
        <f t="shared" si="0"/>
        <v>4931.9789303370881</v>
      </c>
      <c r="H116" s="248">
        <f>F82</f>
        <v>10000</v>
      </c>
      <c r="I116" s="249"/>
    </row>
    <row r="117" spans="2:9" x14ac:dyDescent="0.45">
      <c r="B117" s="158">
        <v>9</v>
      </c>
      <c r="C117" s="128" t="s">
        <v>211</v>
      </c>
      <c r="D117" s="141">
        <v>1</v>
      </c>
      <c r="E117" s="141" t="s">
        <v>118</v>
      </c>
      <c r="F117" s="143">
        <f>F92</f>
        <v>9078.9886995759916</v>
      </c>
      <c r="G117" s="144">
        <f t="shared" si="0"/>
        <v>6921.0113004240084</v>
      </c>
      <c r="H117" s="248">
        <f>F93</f>
        <v>16000</v>
      </c>
      <c r="I117" s="249"/>
    </row>
    <row r="118" spans="2:9" x14ac:dyDescent="0.45">
      <c r="B118" s="158">
        <v>10</v>
      </c>
      <c r="C118" s="128" t="s">
        <v>212</v>
      </c>
      <c r="D118" s="141">
        <v>1</v>
      </c>
      <c r="E118" s="141" t="s">
        <v>118</v>
      </c>
      <c r="F118" s="143">
        <f>F103</f>
        <v>9853.9886995759916</v>
      </c>
      <c r="G118" s="144">
        <f t="shared" si="0"/>
        <v>6146.0113004240084</v>
      </c>
      <c r="H118" s="248">
        <f>F104</f>
        <v>16000</v>
      </c>
      <c r="I118" s="249"/>
    </row>
    <row r="120" spans="2:9" x14ac:dyDescent="0.45">
      <c r="B120" s="2" t="s">
        <v>213</v>
      </c>
    </row>
    <row r="121" spans="2:9" x14ac:dyDescent="0.45">
      <c r="B121" s="122" t="s">
        <v>0</v>
      </c>
      <c r="C121" s="122" t="s">
        <v>125</v>
      </c>
      <c r="D121" s="122" t="s">
        <v>34</v>
      </c>
      <c r="E121" s="122" t="s">
        <v>50</v>
      </c>
      <c r="F121" s="123" t="s">
        <v>126</v>
      </c>
      <c r="G121" s="124" t="s">
        <v>119</v>
      </c>
      <c r="H121" s="241" t="s">
        <v>127</v>
      </c>
      <c r="I121" s="241"/>
    </row>
    <row r="122" spans="2:9" x14ac:dyDescent="0.45">
      <c r="B122" s="158">
        <v>1</v>
      </c>
      <c r="C122" s="128" t="s">
        <v>203</v>
      </c>
      <c r="D122" s="141">
        <v>1</v>
      </c>
      <c r="E122" s="141" t="s">
        <v>118</v>
      </c>
      <c r="F122" s="143">
        <f ca="1">L10</f>
        <v>8663.4638425331614</v>
      </c>
      <c r="G122" s="144">
        <f ca="1">H122-F122</f>
        <v>5336.5361574668386</v>
      </c>
      <c r="H122" s="248">
        <f>L11</f>
        <v>14000</v>
      </c>
      <c r="I122" s="250"/>
    </row>
    <row r="123" spans="2:9" x14ac:dyDescent="0.45">
      <c r="B123" s="158">
        <v>2</v>
      </c>
      <c r="C123" s="128" t="s">
        <v>204</v>
      </c>
      <c r="D123" s="141">
        <v>1</v>
      </c>
      <c r="E123" s="141" t="s">
        <v>118</v>
      </c>
      <c r="F123" s="143">
        <f ca="1">L21</f>
        <v>10506.067510794725</v>
      </c>
      <c r="G123" s="144">
        <f ca="1">H123-F123</f>
        <v>5493.9324892052755</v>
      </c>
      <c r="H123" s="246">
        <f>L22</f>
        <v>16000</v>
      </c>
      <c r="I123" s="247"/>
    </row>
    <row r="124" spans="2:9" x14ac:dyDescent="0.45">
      <c r="B124" s="158">
        <v>3</v>
      </c>
      <c r="C124" s="128" t="s">
        <v>205</v>
      </c>
      <c r="D124" s="141">
        <v>1</v>
      </c>
      <c r="E124" s="141" t="s">
        <v>118</v>
      </c>
      <c r="F124" s="143">
        <f ca="1">L31</f>
        <v>10470.082662309876</v>
      </c>
      <c r="G124" s="144">
        <f t="shared" ref="G124:G129" ca="1" si="1">H124-F124</f>
        <v>5529.9173376901235</v>
      </c>
      <c r="H124" s="246">
        <f>L32</f>
        <v>16000</v>
      </c>
      <c r="I124" s="247"/>
    </row>
    <row r="125" spans="2:9" x14ac:dyDescent="0.45">
      <c r="B125" s="158">
        <v>4</v>
      </c>
      <c r="C125" s="128" t="s">
        <v>206</v>
      </c>
      <c r="D125" s="141">
        <v>1</v>
      </c>
      <c r="E125" s="141" t="s">
        <v>118</v>
      </c>
      <c r="F125" s="143">
        <f ca="1">L41</f>
        <v>10326.143268370482</v>
      </c>
      <c r="G125" s="144">
        <f t="shared" ca="1" si="1"/>
        <v>5673.8567316295175</v>
      </c>
      <c r="H125" s="246">
        <f>L42</f>
        <v>16000</v>
      </c>
      <c r="I125" s="247"/>
    </row>
    <row r="126" spans="2:9" x14ac:dyDescent="0.45">
      <c r="B126" s="158">
        <v>5</v>
      </c>
      <c r="C126" s="128" t="s">
        <v>207</v>
      </c>
      <c r="D126" s="141">
        <v>1</v>
      </c>
      <c r="E126" s="141" t="s">
        <v>118</v>
      </c>
      <c r="F126" s="143">
        <f ca="1">L51</f>
        <v>10398.11296534018</v>
      </c>
      <c r="G126" s="144">
        <f t="shared" ca="1" si="1"/>
        <v>5601.8870346598196</v>
      </c>
      <c r="H126" s="246">
        <f>L52</f>
        <v>16000</v>
      </c>
      <c r="I126" s="247"/>
    </row>
    <row r="127" spans="2:9" x14ac:dyDescent="0.45">
      <c r="B127" s="158">
        <v>6</v>
      </c>
      <c r="C127" s="128" t="s">
        <v>208</v>
      </c>
      <c r="D127" s="141">
        <v>1</v>
      </c>
      <c r="E127" s="141" t="s">
        <v>118</v>
      </c>
      <c r="F127" s="143">
        <f ca="1">L61</f>
        <v>9963.9617088205014</v>
      </c>
      <c r="G127" s="144">
        <f t="shared" ca="1" si="1"/>
        <v>6036.0382911794986</v>
      </c>
      <c r="H127" s="246">
        <f>L62</f>
        <v>16000</v>
      </c>
      <c r="I127" s="247"/>
    </row>
    <row r="128" spans="2:9" x14ac:dyDescent="0.45">
      <c r="B128" s="158">
        <v>7</v>
      </c>
      <c r="C128" s="128" t="s">
        <v>209</v>
      </c>
      <c r="D128" s="141">
        <v>1</v>
      </c>
      <c r="E128" s="141" t="s">
        <v>118</v>
      </c>
      <c r="F128" s="143">
        <f ca="1">L71</f>
        <v>11488.463842533161</v>
      </c>
      <c r="G128" s="144">
        <f t="shared" ca="1" si="1"/>
        <v>4511.5361574668386</v>
      </c>
      <c r="H128" s="246">
        <f>L72</f>
        <v>16000</v>
      </c>
      <c r="I128" s="247"/>
    </row>
    <row r="129" spans="2:9" x14ac:dyDescent="0.45">
      <c r="B129" s="158">
        <v>8</v>
      </c>
      <c r="C129" s="128" t="s">
        <v>210</v>
      </c>
      <c r="D129" s="141">
        <v>1</v>
      </c>
      <c r="E129" s="141" t="s">
        <v>118</v>
      </c>
      <c r="F129" s="143">
        <f ca="1">L81</f>
        <v>10007.654201000405</v>
      </c>
      <c r="G129" s="144">
        <f t="shared" ca="1" si="1"/>
        <v>5992.345798999595</v>
      </c>
      <c r="H129" s="246">
        <f>L82</f>
        <v>16000</v>
      </c>
      <c r="I129" s="246"/>
    </row>
    <row r="131" spans="2:9" x14ac:dyDescent="0.45">
      <c r="B131" s="2" t="s">
        <v>142</v>
      </c>
      <c r="C131" s="1"/>
      <c r="D131" s="1"/>
      <c r="E131" s="1"/>
      <c r="F131" s="1"/>
      <c r="G131" s="1"/>
      <c r="H131" s="1"/>
      <c r="I131" s="1"/>
    </row>
    <row r="132" spans="2:9" x14ac:dyDescent="0.45">
      <c r="B132" s="122" t="s">
        <v>0</v>
      </c>
      <c r="C132" s="122" t="s">
        <v>125</v>
      </c>
      <c r="D132" s="122" t="s">
        <v>34</v>
      </c>
      <c r="E132" s="122" t="s">
        <v>50</v>
      </c>
      <c r="F132" s="123" t="s">
        <v>126</v>
      </c>
      <c r="G132" s="124" t="s">
        <v>119</v>
      </c>
      <c r="H132" s="241" t="s">
        <v>127</v>
      </c>
      <c r="I132" s="241"/>
    </row>
    <row r="133" spans="2:9" x14ac:dyDescent="0.45">
      <c r="B133" s="19">
        <v>1</v>
      </c>
      <c r="C133" s="128" t="s">
        <v>25</v>
      </c>
      <c r="D133" s="31">
        <v>30</v>
      </c>
      <c r="E133" s="31" t="s">
        <v>8</v>
      </c>
      <c r="F133" s="129">
        <f>D133*'Daftar HPP'!$G$22</f>
        <v>1995</v>
      </c>
      <c r="G133" s="20">
        <f t="shared" ref="G133:G134" si="2">H133-F133</f>
        <v>3005</v>
      </c>
      <c r="H133" s="239">
        <v>5000</v>
      </c>
      <c r="I133" s="239"/>
    </row>
    <row r="134" spans="2:9" x14ac:dyDescent="0.45">
      <c r="B134" s="19">
        <v>2</v>
      </c>
      <c r="C134" s="128" t="s">
        <v>26</v>
      </c>
      <c r="D134" s="31">
        <v>30</v>
      </c>
      <c r="E134" s="31" t="s">
        <v>8</v>
      </c>
      <c r="F134" s="129">
        <f>D134*'Daftar HPP'!$G$23</f>
        <v>1824</v>
      </c>
      <c r="G134" s="20">
        <f t="shared" si="2"/>
        <v>3176</v>
      </c>
      <c r="H134" s="239">
        <v>5000</v>
      </c>
      <c r="I134" s="239"/>
    </row>
    <row r="135" spans="2:9" x14ac:dyDescent="0.45">
      <c r="B135" s="19">
        <v>3</v>
      </c>
      <c r="C135" s="128" t="s">
        <v>143</v>
      </c>
      <c r="D135" s="31">
        <v>30</v>
      </c>
      <c r="E135" s="31" t="s">
        <v>8</v>
      </c>
      <c r="F135" s="129">
        <f>D135*'Daftar HPP'!$G$24</f>
        <v>2394</v>
      </c>
      <c r="G135" s="20">
        <f>H135-F135</f>
        <v>2606</v>
      </c>
      <c r="H135" s="239">
        <v>5000</v>
      </c>
      <c r="I135" s="239"/>
    </row>
    <row r="136" spans="2:9" x14ac:dyDescent="0.45">
      <c r="B136" s="19">
        <v>4</v>
      </c>
      <c r="C136" s="128" t="s">
        <v>107</v>
      </c>
      <c r="D136" s="31">
        <v>30</v>
      </c>
      <c r="E136" s="31" t="s">
        <v>8</v>
      </c>
      <c r="F136" s="129">
        <f>D136*'Daftar HPP'!$G$25</f>
        <v>2280</v>
      </c>
      <c r="G136" s="20">
        <f>H136-F136</f>
        <v>2720</v>
      </c>
      <c r="H136" s="239">
        <v>5000</v>
      </c>
      <c r="I136" s="239"/>
    </row>
    <row r="137" spans="2:9" x14ac:dyDescent="0.45">
      <c r="B137" s="19">
        <v>5</v>
      </c>
      <c r="C137" s="128" t="s">
        <v>24</v>
      </c>
      <c r="D137" s="19">
        <v>25</v>
      </c>
      <c r="E137" s="19" t="s">
        <v>8</v>
      </c>
      <c r="F137" s="20">
        <f>D137*'Daftar HPP'!$G$21</f>
        <v>4062.5</v>
      </c>
      <c r="G137" s="20">
        <f>H137-F137</f>
        <v>1937.5</v>
      </c>
      <c r="H137" s="240">
        <v>6000</v>
      </c>
      <c r="I137" s="240"/>
    </row>
  </sheetData>
  <mergeCells count="89">
    <mergeCell ref="D11:E11"/>
    <mergeCell ref="J11:K11"/>
    <mergeCell ref="B2:L2"/>
    <mergeCell ref="B3:F3"/>
    <mergeCell ref="H3:L3"/>
    <mergeCell ref="D10:E10"/>
    <mergeCell ref="J10:K10"/>
    <mergeCell ref="D12:E12"/>
    <mergeCell ref="J12:K12"/>
    <mergeCell ref="D21:E21"/>
    <mergeCell ref="J21:K21"/>
    <mergeCell ref="D22:E22"/>
    <mergeCell ref="J22:K22"/>
    <mergeCell ref="D23:E23"/>
    <mergeCell ref="J23:K23"/>
    <mergeCell ref="D31:E31"/>
    <mergeCell ref="J31:K31"/>
    <mergeCell ref="D32:E32"/>
    <mergeCell ref="J32:K32"/>
    <mergeCell ref="D33:E33"/>
    <mergeCell ref="J33:K33"/>
    <mergeCell ref="D41:E41"/>
    <mergeCell ref="J41:K41"/>
    <mergeCell ref="D42:E42"/>
    <mergeCell ref="J42:K42"/>
    <mergeCell ref="D43:E43"/>
    <mergeCell ref="J43:K43"/>
    <mergeCell ref="D51:E51"/>
    <mergeCell ref="J51:K51"/>
    <mergeCell ref="D52:E52"/>
    <mergeCell ref="J52:K52"/>
    <mergeCell ref="D53:E53"/>
    <mergeCell ref="J53:K53"/>
    <mergeCell ref="D61:E61"/>
    <mergeCell ref="J61:K61"/>
    <mergeCell ref="D62:E62"/>
    <mergeCell ref="J62:K62"/>
    <mergeCell ref="D63:E63"/>
    <mergeCell ref="J63:K63"/>
    <mergeCell ref="D71:E71"/>
    <mergeCell ref="J71:K71"/>
    <mergeCell ref="D72:E72"/>
    <mergeCell ref="J72:K72"/>
    <mergeCell ref="D73:E73"/>
    <mergeCell ref="J73:K73"/>
    <mergeCell ref="D81:E81"/>
    <mergeCell ref="J81:K81"/>
    <mergeCell ref="D82:E82"/>
    <mergeCell ref="J82:K82"/>
    <mergeCell ref="D83:E83"/>
    <mergeCell ref="J83:K83"/>
    <mergeCell ref="D92:E92"/>
    <mergeCell ref="J92:K92"/>
    <mergeCell ref="D93:E93"/>
    <mergeCell ref="J93:K93"/>
    <mergeCell ref="H111:I111"/>
    <mergeCell ref="D94:E94"/>
    <mergeCell ref="J94:K94"/>
    <mergeCell ref="D103:E103"/>
    <mergeCell ref="J103:K103"/>
    <mergeCell ref="D104:E104"/>
    <mergeCell ref="J104:K104"/>
    <mergeCell ref="D105:E105"/>
    <mergeCell ref="J105:K105"/>
    <mergeCell ref="H108:I108"/>
    <mergeCell ref="H109:I109"/>
    <mergeCell ref="H110:I110"/>
    <mergeCell ref="H125:I125"/>
    <mergeCell ref="H112:I112"/>
    <mergeCell ref="H113:I113"/>
    <mergeCell ref="H114:I114"/>
    <mergeCell ref="H115:I115"/>
    <mergeCell ref="H116:I116"/>
    <mergeCell ref="H117:I117"/>
    <mergeCell ref="H118:I118"/>
    <mergeCell ref="H121:I121"/>
    <mergeCell ref="H122:I122"/>
    <mergeCell ref="H123:I123"/>
    <mergeCell ref="H124:I124"/>
    <mergeCell ref="H134:I134"/>
    <mergeCell ref="H135:I135"/>
    <mergeCell ref="H136:I136"/>
    <mergeCell ref="H137:I137"/>
    <mergeCell ref="H126:I126"/>
    <mergeCell ref="H127:I127"/>
    <mergeCell ref="H128:I128"/>
    <mergeCell ref="H129:I129"/>
    <mergeCell ref="H132:I132"/>
    <mergeCell ref="H133:I133"/>
  </mergeCells>
  <pageMargins left="0.7" right="0.7" top="0.75" bottom="0.75" header="0.3" footer="0.3"/>
  <ignoredErrors>
    <ignoredError sqref="F109:G109 F111:G111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C9C41-CBEF-427F-AF4B-32722DF5D574}">
  <dimension ref="B2:AJ439"/>
  <sheetViews>
    <sheetView topLeftCell="A394" zoomScale="70" zoomScaleNormal="70" workbookViewId="0">
      <selection activeCell="Y427" sqref="Y427"/>
    </sheetView>
  </sheetViews>
  <sheetFormatPr defaultRowHeight="14.25" x14ac:dyDescent="0.45"/>
  <cols>
    <col min="1" max="1" width="2.33203125" customWidth="1"/>
    <col min="2" max="2" width="9" bestFit="1" customWidth="1"/>
    <col min="3" max="3" width="34.53125" customWidth="1"/>
    <col min="4" max="4" width="8.53125" customWidth="1"/>
    <col min="6" max="6" width="10.1328125" bestFit="1" customWidth="1"/>
    <col min="7" max="8" width="10.19921875" bestFit="1" customWidth="1"/>
    <col min="9" max="9" width="24.33203125" bestFit="1" customWidth="1"/>
    <col min="12" max="12" width="9.86328125" bestFit="1" customWidth="1"/>
    <col min="15" max="15" width="24.33203125" bestFit="1" customWidth="1"/>
    <col min="18" max="18" width="9.86328125" bestFit="1" customWidth="1"/>
    <col min="19" max="19" width="3.33203125" style="205" customWidth="1"/>
    <col min="21" max="21" width="37.6640625" customWidth="1"/>
    <col min="22" max="22" width="7.796875" customWidth="1"/>
    <col min="24" max="24" width="10.1328125" bestFit="1" customWidth="1"/>
    <col min="25" max="25" width="10.46484375" bestFit="1" customWidth="1"/>
    <col min="26" max="26" width="10.6640625" customWidth="1"/>
    <col min="27" max="27" width="24.53125" bestFit="1" customWidth="1"/>
    <col min="30" max="30" width="10.1328125" bestFit="1" customWidth="1"/>
    <col min="33" max="33" width="24.53125" bestFit="1" customWidth="1"/>
    <col min="36" max="36" width="10.1328125" bestFit="1" customWidth="1"/>
  </cols>
  <sheetData>
    <row r="2" spans="2:36" ht="15.4" x14ac:dyDescent="0.45">
      <c r="B2" s="259" t="s">
        <v>304</v>
      </c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  <c r="N2" s="259"/>
      <c r="O2" s="259"/>
      <c r="P2" s="259"/>
      <c r="Q2" s="259"/>
      <c r="R2" s="259"/>
      <c r="T2" s="259" t="s">
        <v>305</v>
      </c>
      <c r="U2" s="259"/>
      <c r="V2" s="259"/>
      <c r="W2" s="259"/>
      <c r="X2" s="259"/>
      <c r="Y2" s="259"/>
      <c r="Z2" s="259"/>
      <c r="AA2" s="259"/>
      <c r="AB2" s="259"/>
      <c r="AC2" s="259"/>
      <c r="AD2" s="259"/>
      <c r="AE2" s="259"/>
      <c r="AF2" s="259"/>
      <c r="AG2" s="259"/>
      <c r="AH2" s="259"/>
      <c r="AI2" s="259"/>
      <c r="AJ2" s="259"/>
    </row>
    <row r="3" spans="2:36" ht="14.65" thickBot="1" x14ac:dyDescent="0.5">
      <c r="B3" s="2" t="s">
        <v>253</v>
      </c>
      <c r="H3" s="2" t="s">
        <v>259</v>
      </c>
      <c r="N3" s="2" t="s">
        <v>263</v>
      </c>
      <c r="T3" s="2" t="s">
        <v>253</v>
      </c>
      <c r="Z3" s="2" t="s">
        <v>259</v>
      </c>
      <c r="AF3" s="2" t="s">
        <v>263</v>
      </c>
    </row>
    <row r="4" spans="2:36" x14ac:dyDescent="0.45">
      <c r="B4" s="119" t="s">
        <v>0</v>
      </c>
      <c r="C4" s="119" t="s">
        <v>49</v>
      </c>
      <c r="D4" s="119" t="s">
        <v>34</v>
      </c>
      <c r="E4" s="119" t="s">
        <v>50</v>
      </c>
      <c r="F4" s="119" t="s">
        <v>36</v>
      </c>
      <c r="H4" s="119" t="s">
        <v>0</v>
      </c>
      <c r="I4" s="119" t="s">
        <v>49</v>
      </c>
      <c r="J4" s="119" t="s">
        <v>34</v>
      </c>
      <c r="K4" s="119" t="s">
        <v>50</v>
      </c>
      <c r="L4" s="119" t="s">
        <v>36</v>
      </c>
      <c r="N4" s="119" t="s">
        <v>0</v>
      </c>
      <c r="O4" s="119" t="s">
        <v>49</v>
      </c>
      <c r="P4" s="119" t="s">
        <v>34</v>
      </c>
      <c r="Q4" s="119" t="s">
        <v>50</v>
      </c>
      <c r="R4" s="119" t="s">
        <v>36</v>
      </c>
      <c r="T4" s="119" t="s">
        <v>0</v>
      </c>
      <c r="U4" s="119" t="s">
        <v>49</v>
      </c>
      <c r="V4" s="119" t="s">
        <v>34</v>
      </c>
      <c r="W4" s="119" t="s">
        <v>50</v>
      </c>
      <c r="X4" s="119" t="s">
        <v>36</v>
      </c>
      <c r="Z4" s="119" t="s">
        <v>0</v>
      </c>
      <c r="AA4" s="119" t="s">
        <v>49</v>
      </c>
      <c r="AB4" s="119" t="s">
        <v>34</v>
      </c>
      <c r="AC4" s="119" t="s">
        <v>50</v>
      </c>
      <c r="AD4" s="119" t="s">
        <v>36</v>
      </c>
      <c r="AF4" s="119" t="s">
        <v>0</v>
      </c>
      <c r="AG4" s="119" t="s">
        <v>49</v>
      </c>
      <c r="AH4" s="119" t="s">
        <v>34</v>
      </c>
      <c r="AI4" s="119" t="s">
        <v>50</v>
      </c>
      <c r="AJ4" s="119" t="s">
        <v>36</v>
      </c>
    </row>
    <row r="5" spans="2:36" x14ac:dyDescent="0.45">
      <c r="B5" s="141">
        <v>1</v>
      </c>
      <c r="C5" s="142" t="s">
        <v>112</v>
      </c>
      <c r="D5" s="141">
        <v>1</v>
      </c>
      <c r="E5" s="141" t="s">
        <v>6</v>
      </c>
      <c r="F5" s="143">
        <f>D5*'Daftar HPP'!$L$57</f>
        <v>4875.7315789473687</v>
      </c>
      <c r="H5" s="141">
        <v>1</v>
      </c>
      <c r="I5" s="142" t="s">
        <v>112</v>
      </c>
      <c r="J5" s="141">
        <v>1</v>
      </c>
      <c r="K5" s="141" t="s">
        <v>6</v>
      </c>
      <c r="L5" s="143">
        <f>J5*'Daftar HPP'!$L$57</f>
        <v>4875.7315789473687</v>
      </c>
      <c r="N5" s="141">
        <v>1</v>
      </c>
      <c r="O5" s="142" t="s">
        <v>112</v>
      </c>
      <c r="P5" s="141">
        <v>1</v>
      </c>
      <c r="Q5" s="141" t="s">
        <v>6</v>
      </c>
      <c r="R5" s="143">
        <f>P5*'Daftar HPP'!$L$57</f>
        <v>4875.7315789473687</v>
      </c>
      <c r="T5" s="141">
        <v>1</v>
      </c>
      <c r="U5" s="142" t="s">
        <v>112</v>
      </c>
      <c r="V5" s="141">
        <v>2</v>
      </c>
      <c r="W5" s="141" t="s">
        <v>6</v>
      </c>
      <c r="X5" s="143">
        <f>V5*'Daftar HPP'!$L$57</f>
        <v>9751.4631578947374</v>
      </c>
      <c r="Z5" s="141">
        <v>1</v>
      </c>
      <c r="AA5" s="142" t="s">
        <v>112</v>
      </c>
      <c r="AB5" s="141">
        <v>2</v>
      </c>
      <c r="AC5" s="141" t="s">
        <v>6</v>
      </c>
      <c r="AD5" s="143">
        <f>AB5*'Daftar HPP'!$L$57</f>
        <v>9751.4631578947374</v>
      </c>
      <c r="AF5" s="141">
        <v>1</v>
      </c>
      <c r="AG5" s="142" t="s">
        <v>112</v>
      </c>
      <c r="AH5" s="141">
        <v>2</v>
      </c>
      <c r="AI5" s="141" t="s">
        <v>6</v>
      </c>
      <c r="AJ5" s="143">
        <f>AH5*'Daftar HPP'!$L$57</f>
        <v>9751.4631578947374</v>
      </c>
    </row>
    <row r="6" spans="2:36" x14ac:dyDescent="0.45">
      <c r="B6" s="141">
        <v>2</v>
      </c>
      <c r="C6" s="142" t="s">
        <v>254</v>
      </c>
      <c r="D6" s="141">
        <v>1</v>
      </c>
      <c r="E6" s="141" t="s">
        <v>118</v>
      </c>
      <c r="F6" s="143">
        <f>D6*'Daftar HPP'!$F$105</f>
        <v>7659.7900832428531</v>
      </c>
      <c r="H6" s="141">
        <v>2</v>
      </c>
      <c r="I6" s="142" t="s">
        <v>254</v>
      </c>
      <c r="J6" s="141">
        <v>1</v>
      </c>
      <c r="K6" s="141" t="s">
        <v>118</v>
      </c>
      <c r="L6" s="143">
        <f>J6*'Daftar HPP'!$F$105</f>
        <v>7659.7900832428531</v>
      </c>
      <c r="N6" s="141">
        <v>2</v>
      </c>
      <c r="O6" s="142" t="s">
        <v>254</v>
      </c>
      <c r="P6" s="141">
        <v>1</v>
      </c>
      <c r="Q6" s="141" t="s">
        <v>118</v>
      </c>
      <c r="R6" s="143">
        <f>P6*'Daftar HPP'!$F$105</f>
        <v>7659.7900832428531</v>
      </c>
      <c r="T6" s="141">
        <v>2</v>
      </c>
      <c r="U6" s="142" t="s">
        <v>269</v>
      </c>
      <c r="V6" s="141">
        <v>1</v>
      </c>
      <c r="W6" s="141" t="s">
        <v>118</v>
      </c>
      <c r="X6" s="143">
        <f>V6*'Daftar HPP'!$L$96</f>
        <v>11489.68512486428</v>
      </c>
      <c r="Z6" s="141">
        <v>2</v>
      </c>
      <c r="AA6" s="142" t="s">
        <v>269</v>
      </c>
      <c r="AB6" s="141">
        <v>1</v>
      </c>
      <c r="AC6" s="141" t="s">
        <v>118</v>
      </c>
      <c r="AD6" s="143">
        <f>AB6*'Daftar HPP'!$L$96</f>
        <v>11489.68512486428</v>
      </c>
      <c r="AF6" s="141">
        <v>2</v>
      </c>
      <c r="AG6" s="142" t="s">
        <v>269</v>
      </c>
      <c r="AH6" s="141">
        <v>1</v>
      </c>
      <c r="AI6" s="141" t="s">
        <v>118</v>
      </c>
      <c r="AJ6" s="143">
        <f>AH6*'Daftar HPP'!$L$96</f>
        <v>11489.68512486428</v>
      </c>
    </row>
    <row r="7" spans="2:36" x14ac:dyDescent="0.45">
      <c r="B7" s="141">
        <v>3</v>
      </c>
      <c r="C7" s="142" t="s">
        <v>17</v>
      </c>
      <c r="D7" s="141">
        <v>30</v>
      </c>
      <c r="E7" s="141" t="s">
        <v>8</v>
      </c>
      <c r="F7" s="144">
        <f>D7*'Daftar HPP'!$F$152</f>
        <v>2093.9588100686497</v>
      </c>
      <c r="H7" s="141">
        <v>3</v>
      </c>
      <c r="I7" s="142" t="s">
        <v>25</v>
      </c>
      <c r="J7" s="141">
        <v>30</v>
      </c>
      <c r="K7" s="141" t="s">
        <v>8</v>
      </c>
      <c r="L7" s="144">
        <f>J7*'Daftar HPP'!$G$22</f>
        <v>1995</v>
      </c>
      <c r="N7" s="141">
        <v>3</v>
      </c>
      <c r="O7" s="142" t="s">
        <v>107</v>
      </c>
      <c r="P7" s="141">
        <v>30</v>
      </c>
      <c r="Q7" s="141" t="s">
        <v>8</v>
      </c>
      <c r="R7" s="144">
        <f>P7*'Daftar HPP'!$L$152</f>
        <v>2144.1036802532649</v>
      </c>
      <c r="T7" s="141">
        <v>3</v>
      </c>
      <c r="U7" s="142" t="s">
        <v>17</v>
      </c>
      <c r="V7" s="141">
        <v>30</v>
      </c>
      <c r="W7" s="141" t="s">
        <v>8</v>
      </c>
      <c r="X7" s="144">
        <f>V7*'Daftar HPP'!$F$152</f>
        <v>2093.9588100686497</v>
      </c>
      <c r="Z7" s="141">
        <v>3</v>
      </c>
      <c r="AA7" s="142" t="s">
        <v>25</v>
      </c>
      <c r="AB7" s="141">
        <v>30</v>
      </c>
      <c r="AC7" s="141" t="s">
        <v>8</v>
      </c>
      <c r="AD7" s="144">
        <f>AB7*'Daftar HPP'!$G$22</f>
        <v>1995</v>
      </c>
      <c r="AF7" s="141">
        <v>3</v>
      </c>
      <c r="AG7" s="142" t="s">
        <v>107</v>
      </c>
      <c r="AH7" s="141">
        <v>30</v>
      </c>
      <c r="AI7" s="141" t="s">
        <v>8</v>
      </c>
      <c r="AJ7" s="144">
        <f>AH7*'Daftar HPP'!$L$152</f>
        <v>2144.1036802532649</v>
      </c>
    </row>
    <row r="8" spans="2:36" x14ac:dyDescent="0.45">
      <c r="B8" s="141">
        <v>4</v>
      </c>
      <c r="C8" s="142" t="s">
        <v>25</v>
      </c>
      <c r="D8" s="141">
        <v>30</v>
      </c>
      <c r="E8" s="141" t="s">
        <v>8</v>
      </c>
      <c r="F8" s="144">
        <f>D8*'Daftar HPP'!$G$22</f>
        <v>1995</v>
      </c>
      <c r="H8" s="141">
        <v>4</v>
      </c>
      <c r="I8" s="142" t="s">
        <v>105</v>
      </c>
      <c r="J8" s="141">
        <v>30</v>
      </c>
      <c r="K8" s="141" t="s">
        <v>8</v>
      </c>
      <c r="L8" s="144">
        <f>J8*'Daftar HPP'!$F$143</f>
        <v>2146.3497453310692</v>
      </c>
      <c r="N8" s="141">
        <v>4</v>
      </c>
      <c r="O8" s="142" t="s">
        <v>26</v>
      </c>
      <c r="P8" s="141">
        <v>30</v>
      </c>
      <c r="Q8" s="141" t="s">
        <v>8</v>
      </c>
      <c r="R8" s="144">
        <f>P8*'Daftar HPP'!$L$143</f>
        <v>1647.4064221926658</v>
      </c>
      <c r="T8" s="141">
        <v>4</v>
      </c>
      <c r="U8" s="142" t="s">
        <v>25</v>
      </c>
      <c r="V8" s="141">
        <v>30</v>
      </c>
      <c r="W8" s="141" t="s">
        <v>8</v>
      </c>
      <c r="X8" s="144">
        <f>V8*'Daftar HPP'!$G$22</f>
        <v>1995</v>
      </c>
      <c r="Z8" s="141">
        <v>4</v>
      </c>
      <c r="AA8" s="142" t="s">
        <v>105</v>
      </c>
      <c r="AB8" s="141">
        <v>30</v>
      </c>
      <c r="AC8" s="141" t="s">
        <v>8</v>
      </c>
      <c r="AD8" s="144">
        <f>AB8*'Daftar HPP'!$F$143</f>
        <v>2146.3497453310692</v>
      </c>
      <c r="AF8" s="141">
        <v>4</v>
      </c>
      <c r="AG8" s="142" t="s">
        <v>26</v>
      </c>
      <c r="AH8" s="141">
        <v>30</v>
      </c>
      <c r="AI8" s="141" t="s">
        <v>8</v>
      </c>
      <c r="AJ8" s="144">
        <f>AH8*'Daftar HPP'!$L$143</f>
        <v>1647.4064221926658</v>
      </c>
    </row>
    <row r="9" spans="2:36" x14ac:dyDescent="0.45">
      <c r="B9" s="141">
        <v>5</v>
      </c>
      <c r="C9" s="142" t="s">
        <v>270</v>
      </c>
      <c r="D9" s="141">
        <v>1</v>
      </c>
      <c r="E9" s="141" t="s">
        <v>8</v>
      </c>
      <c r="F9" s="144">
        <f>D9*'Daftar HPP'!$G$33</f>
        <v>100</v>
      </c>
      <c r="H9" s="141">
        <v>5</v>
      </c>
      <c r="I9" s="142" t="s">
        <v>270</v>
      </c>
      <c r="J9" s="141">
        <v>1</v>
      </c>
      <c r="K9" s="141" t="s">
        <v>8</v>
      </c>
      <c r="L9" s="144">
        <f>J9*'Daftar HPP'!$G$33</f>
        <v>100</v>
      </c>
      <c r="N9" s="141">
        <v>5</v>
      </c>
      <c r="O9" s="142" t="s">
        <v>270</v>
      </c>
      <c r="P9" s="141">
        <v>1</v>
      </c>
      <c r="Q9" s="141" t="s">
        <v>8</v>
      </c>
      <c r="R9" s="144">
        <f>P9*'Daftar HPP'!$G$33</f>
        <v>100</v>
      </c>
      <c r="T9" s="141">
        <v>5</v>
      </c>
      <c r="U9" s="142" t="s">
        <v>270</v>
      </c>
      <c r="V9" s="141">
        <v>1</v>
      </c>
      <c r="W9" s="141" t="s">
        <v>8</v>
      </c>
      <c r="X9" s="144">
        <f>V9*'Daftar HPP'!$G$33</f>
        <v>100</v>
      </c>
      <c r="Z9" s="141">
        <v>5</v>
      </c>
      <c r="AA9" s="142" t="s">
        <v>270</v>
      </c>
      <c r="AB9" s="141">
        <v>1</v>
      </c>
      <c r="AC9" s="141" t="s">
        <v>8</v>
      </c>
      <c r="AD9" s="144">
        <f>AB9*'Daftar HPP'!$G$33</f>
        <v>100</v>
      </c>
      <c r="AF9" s="141">
        <v>5</v>
      </c>
      <c r="AG9" s="142" t="s">
        <v>270</v>
      </c>
      <c r="AH9" s="141">
        <v>1</v>
      </c>
      <c r="AI9" s="141" t="s">
        <v>8</v>
      </c>
      <c r="AJ9" s="144">
        <f>AH9*'Daftar HPP'!$G$33</f>
        <v>100</v>
      </c>
    </row>
    <row r="10" spans="2:36" x14ac:dyDescent="0.45">
      <c r="B10" s="141">
        <v>6</v>
      </c>
      <c r="C10" s="142" t="s">
        <v>251</v>
      </c>
      <c r="D10" s="141">
        <v>1</v>
      </c>
      <c r="E10" s="141" t="s">
        <v>28</v>
      </c>
      <c r="F10" s="144">
        <f>D10*'Daftar HPP'!$G$39</f>
        <v>1100</v>
      </c>
      <c r="H10" s="141">
        <v>6</v>
      </c>
      <c r="I10" s="142" t="s">
        <v>251</v>
      </c>
      <c r="J10" s="141">
        <v>1</v>
      </c>
      <c r="K10" s="141" t="s">
        <v>28</v>
      </c>
      <c r="L10" s="144">
        <f>J10*'Daftar HPP'!$G$39</f>
        <v>1100</v>
      </c>
      <c r="N10" s="141">
        <v>6</v>
      </c>
      <c r="O10" s="142" t="s">
        <v>251</v>
      </c>
      <c r="P10" s="141">
        <v>1</v>
      </c>
      <c r="Q10" s="141" t="s">
        <v>28</v>
      </c>
      <c r="R10" s="144">
        <f>P10*'Daftar HPP'!$G$39</f>
        <v>1100</v>
      </c>
      <c r="T10" s="141">
        <v>6</v>
      </c>
      <c r="U10" s="142" t="s">
        <v>251</v>
      </c>
      <c r="V10" s="141">
        <v>1</v>
      </c>
      <c r="W10" s="141" t="s">
        <v>28</v>
      </c>
      <c r="X10" s="144">
        <f>V10*'Daftar HPP'!$G$39</f>
        <v>1100</v>
      </c>
      <c r="Z10" s="141">
        <v>6</v>
      </c>
      <c r="AA10" s="142" t="s">
        <v>251</v>
      </c>
      <c r="AB10" s="141">
        <v>1</v>
      </c>
      <c r="AC10" s="141" t="s">
        <v>28</v>
      </c>
      <c r="AD10" s="144">
        <f>AB10*'Daftar HPP'!$G$39</f>
        <v>1100</v>
      </c>
      <c r="AF10" s="141">
        <v>6</v>
      </c>
      <c r="AG10" s="142" t="s">
        <v>251</v>
      </c>
      <c r="AH10" s="141">
        <v>1</v>
      </c>
      <c r="AI10" s="141" t="s">
        <v>28</v>
      </c>
      <c r="AJ10" s="144">
        <f>AH10*'Daftar HPP'!$G$39</f>
        <v>1100</v>
      </c>
    </row>
    <row r="11" spans="2:36" x14ac:dyDescent="0.45">
      <c r="B11" s="153"/>
      <c r="C11" s="150"/>
      <c r="D11" s="261" t="s">
        <v>53</v>
      </c>
      <c r="E11" s="261"/>
      <c r="F11" s="190">
        <f>SUM(F5:F10)</f>
        <v>17824.480472258871</v>
      </c>
      <c r="H11" s="153"/>
      <c r="I11" s="150"/>
      <c r="J11" s="261" t="s">
        <v>53</v>
      </c>
      <c r="K11" s="261"/>
      <c r="L11" s="190">
        <f>SUM(L5:L10)</f>
        <v>17876.871407521292</v>
      </c>
      <c r="N11" s="153"/>
      <c r="O11" s="150"/>
      <c r="P11" s="261" t="s">
        <v>53</v>
      </c>
      <c r="Q11" s="261"/>
      <c r="R11" s="190">
        <f>SUM(R5:R10)</f>
        <v>17527.031764636151</v>
      </c>
      <c r="T11" s="153"/>
      <c r="U11" s="150"/>
      <c r="V11" s="261" t="s">
        <v>53</v>
      </c>
      <c r="W11" s="261"/>
      <c r="X11" s="190">
        <f>SUM(X5:X10)</f>
        <v>26530.107092827664</v>
      </c>
      <c r="Z11" s="153"/>
      <c r="AA11" s="150"/>
      <c r="AB11" s="261" t="s">
        <v>53</v>
      </c>
      <c r="AC11" s="261"/>
      <c r="AD11" s="190">
        <f>SUM(AD5:AD10)</f>
        <v>26582.498028090085</v>
      </c>
      <c r="AF11" s="153"/>
      <c r="AG11" s="150"/>
      <c r="AH11" s="261" t="s">
        <v>53</v>
      </c>
      <c r="AI11" s="261"/>
      <c r="AJ11" s="190">
        <f>SUM(AJ5:AJ10)</f>
        <v>26232.658385204948</v>
      </c>
    </row>
    <row r="12" spans="2:36" x14ac:dyDescent="0.45">
      <c r="B12" s="153"/>
      <c r="C12" s="153"/>
      <c r="D12" s="256" t="s">
        <v>116</v>
      </c>
      <c r="E12" s="256"/>
      <c r="F12" s="147">
        <v>29000</v>
      </c>
      <c r="H12" s="153"/>
      <c r="I12" s="153"/>
      <c r="J12" s="256" t="s">
        <v>116</v>
      </c>
      <c r="K12" s="256"/>
      <c r="L12" s="147">
        <v>29000</v>
      </c>
      <c r="N12" s="153"/>
      <c r="O12" s="153"/>
      <c r="P12" s="256" t="s">
        <v>116</v>
      </c>
      <c r="Q12" s="256"/>
      <c r="R12" s="147">
        <v>29000</v>
      </c>
      <c r="T12" s="153"/>
      <c r="U12" s="153"/>
      <c r="V12" s="256" t="s">
        <v>116</v>
      </c>
      <c r="W12" s="256"/>
      <c r="X12" s="147">
        <v>43000</v>
      </c>
      <c r="Z12" s="153"/>
      <c r="AA12" s="153"/>
      <c r="AB12" s="256" t="s">
        <v>116</v>
      </c>
      <c r="AC12" s="256"/>
      <c r="AD12" s="147">
        <v>43000</v>
      </c>
      <c r="AF12" s="153"/>
      <c r="AG12" s="153"/>
      <c r="AH12" s="256" t="s">
        <v>116</v>
      </c>
      <c r="AI12" s="256"/>
      <c r="AJ12" s="147">
        <v>43000</v>
      </c>
    </row>
    <row r="13" spans="2:36" x14ac:dyDescent="0.45">
      <c r="B13" s="153"/>
      <c r="C13" s="153"/>
      <c r="D13" s="256" t="s">
        <v>119</v>
      </c>
      <c r="E13" s="256"/>
      <c r="F13" s="148">
        <f>F12-F11</f>
        <v>11175.519527741129</v>
      </c>
      <c r="H13" s="153"/>
      <c r="I13" s="153"/>
      <c r="J13" s="256" t="s">
        <v>119</v>
      </c>
      <c r="K13" s="256"/>
      <c r="L13" s="148">
        <f>L12-L11</f>
        <v>11123.128592478708</v>
      </c>
      <c r="N13" s="153"/>
      <c r="O13" s="153"/>
      <c r="P13" s="256" t="s">
        <v>119</v>
      </c>
      <c r="Q13" s="256"/>
      <c r="R13" s="148">
        <f>R12-R11</f>
        <v>11472.968235363849</v>
      </c>
      <c r="T13" s="153"/>
      <c r="U13" s="153"/>
      <c r="V13" s="256" t="s">
        <v>119</v>
      </c>
      <c r="W13" s="256"/>
      <c r="X13" s="148">
        <f>X12-X11</f>
        <v>16469.892907172336</v>
      </c>
      <c r="Z13" s="153"/>
      <c r="AA13" s="153"/>
      <c r="AB13" s="256" t="s">
        <v>119</v>
      </c>
      <c r="AC13" s="256"/>
      <c r="AD13" s="148">
        <f>AD12-AD11</f>
        <v>16417.501971909915</v>
      </c>
      <c r="AF13" s="153"/>
      <c r="AG13" s="153"/>
      <c r="AH13" s="256" t="s">
        <v>119</v>
      </c>
      <c r="AI13" s="256"/>
      <c r="AJ13" s="148">
        <f>AJ12-AJ11</f>
        <v>16767.341614795052</v>
      </c>
    </row>
    <row r="15" spans="2:36" ht="14.65" thickBot="1" x14ac:dyDescent="0.5">
      <c r="B15" s="2" t="s">
        <v>256</v>
      </c>
      <c r="H15" s="2" t="s">
        <v>260</v>
      </c>
      <c r="N15" s="2" t="s">
        <v>307</v>
      </c>
      <c r="T15" s="2" t="s">
        <v>256</v>
      </c>
      <c r="Z15" s="2" t="s">
        <v>260</v>
      </c>
      <c r="AF15" s="2" t="s">
        <v>307</v>
      </c>
    </row>
    <row r="16" spans="2:36" x14ac:dyDescent="0.45">
      <c r="B16" s="119" t="s">
        <v>0</v>
      </c>
      <c r="C16" s="119" t="s">
        <v>49</v>
      </c>
      <c r="D16" s="119" t="s">
        <v>34</v>
      </c>
      <c r="E16" s="119" t="s">
        <v>50</v>
      </c>
      <c r="F16" s="119" t="s">
        <v>36</v>
      </c>
      <c r="H16" s="119" t="s">
        <v>0</v>
      </c>
      <c r="I16" s="119" t="s">
        <v>49</v>
      </c>
      <c r="J16" s="119" t="s">
        <v>34</v>
      </c>
      <c r="K16" s="119" t="s">
        <v>50</v>
      </c>
      <c r="L16" s="119" t="s">
        <v>36</v>
      </c>
      <c r="N16" s="119" t="s">
        <v>0</v>
      </c>
      <c r="O16" s="119" t="s">
        <v>49</v>
      </c>
      <c r="P16" s="119" t="s">
        <v>34</v>
      </c>
      <c r="Q16" s="119" t="s">
        <v>50</v>
      </c>
      <c r="R16" s="119" t="s">
        <v>36</v>
      </c>
      <c r="T16" s="119" t="s">
        <v>0</v>
      </c>
      <c r="U16" s="119" t="s">
        <v>49</v>
      </c>
      <c r="V16" s="119" t="s">
        <v>34</v>
      </c>
      <c r="W16" s="119" t="s">
        <v>50</v>
      </c>
      <c r="X16" s="119" t="s">
        <v>36</v>
      </c>
      <c r="Z16" s="119" t="s">
        <v>0</v>
      </c>
      <c r="AA16" s="119" t="s">
        <v>49</v>
      </c>
      <c r="AB16" s="119" t="s">
        <v>34</v>
      </c>
      <c r="AC16" s="119" t="s">
        <v>50</v>
      </c>
      <c r="AD16" s="119" t="s">
        <v>36</v>
      </c>
      <c r="AF16" s="119" t="s">
        <v>0</v>
      </c>
      <c r="AG16" s="119" t="s">
        <v>49</v>
      </c>
      <c r="AH16" s="119" t="s">
        <v>34</v>
      </c>
      <c r="AI16" s="119" t="s">
        <v>50</v>
      </c>
      <c r="AJ16" s="119" t="s">
        <v>36</v>
      </c>
    </row>
    <row r="17" spans="2:36" x14ac:dyDescent="0.45">
      <c r="B17" s="141">
        <v>1</v>
      </c>
      <c r="C17" s="142" t="s">
        <v>112</v>
      </c>
      <c r="D17" s="141">
        <v>1</v>
      </c>
      <c r="E17" s="141" t="s">
        <v>6</v>
      </c>
      <c r="F17" s="143">
        <f>D17*'Daftar HPP'!$L$57</f>
        <v>4875.7315789473687</v>
      </c>
      <c r="H17" s="141">
        <v>1</v>
      </c>
      <c r="I17" s="142" t="s">
        <v>112</v>
      </c>
      <c r="J17" s="141">
        <v>1</v>
      </c>
      <c r="K17" s="141" t="s">
        <v>6</v>
      </c>
      <c r="L17" s="143">
        <f>J17*'Daftar HPP'!$L$57</f>
        <v>4875.7315789473687</v>
      </c>
      <c r="N17" s="141">
        <v>1</v>
      </c>
      <c r="O17" s="142" t="s">
        <v>112</v>
      </c>
      <c r="P17" s="141">
        <v>1</v>
      </c>
      <c r="Q17" s="141" t="s">
        <v>6</v>
      </c>
      <c r="R17" s="143">
        <f>P17*'Daftar HPP'!$L$57</f>
        <v>4875.7315789473687</v>
      </c>
      <c r="T17" s="141">
        <v>1</v>
      </c>
      <c r="U17" s="142" t="s">
        <v>112</v>
      </c>
      <c r="V17" s="141">
        <v>2</v>
      </c>
      <c r="W17" s="141" t="s">
        <v>6</v>
      </c>
      <c r="X17" s="143">
        <f>V17*'Daftar HPP'!$L$57</f>
        <v>9751.4631578947374</v>
      </c>
      <c r="Z17" s="141">
        <v>1</v>
      </c>
      <c r="AA17" s="142" t="s">
        <v>112</v>
      </c>
      <c r="AB17" s="141">
        <v>2</v>
      </c>
      <c r="AC17" s="141" t="s">
        <v>6</v>
      </c>
      <c r="AD17" s="143">
        <f>AB17*'Daftar HPP'!$L$57</f>
        <v>9751.4631578947374</v>
      </c>
      <c r="AF17" s="141">
        <v>1</v>
      </c>
      <c r="AG17" s="142" t="s">
        <v>112</v>
      </c>
      <c r="AH17" s="141">
        <v>2</v>
      </c>
      <c r="AI17" s="141" t="s">
        <v>6</v>
      </c>
      <c r="AJ17" s="143">
        <f>AH17*'Daftar HPP'!$L$57</f>
        <v>9751.4631578947374</v>
      </c>
    </row>
    <row r="18" spans="2:36" x14ac:dyDescent="0.45">
      <c r="B18" s="141">
        <v>2</v>
      </c>
      <c r="C18" s="142" t="s">
        <v>254</v>
      </c>
      <c r="D18" s="141">
        <v>1</v>
      </c>
      <c r="E18" s="141" t="s">
        <v>118</v>
      </c>
      <c r="F18" s="143">
        <f>D18*'Daftar HPP'!$F$105</f>
        <v>7659.7900832428531</v>
      </c>
      <c r="H18" s="141">
        <v>2</v>
      </c>
      <c r="I18" s="142" t="s">
        <v>254</v>
      </c>
      <c r="J18" s="141">
        <v>1</v>
      </c>
      <c r="K18" s="141" t="s">
        <v>118</v>
      </c>
      <c r="L18" s="143">
        <f>J18*'Daftar HPP'!$F$105</f>
        <v>7659.7900832428531</v>
      </c>
      <c r="N18" s="141">
        <v>2</v>
      </c>
      <c r="O18" s="142" t="s">
        <v>254</v>
      </c>
      <c r="P18" s="141">
        <v>1</v>
      </c>
      <c r="Q18" s="141" t="s">
        <v>118</v>
      </c>
      <c r="R18" s="143">
        <f>P18*'Daftar HPP'!$F$105</f>
        <v>7659.7900832428531</v>
      </c>
      <c r="T18" s="141">
        <v>2</v>
      </c>
      <c r="U18" s="142" t="s">
        <v>269</v>
      </c>
      <c r="V18" s="141">
        <v>1</v>
      </c>
      <c r="W18" s="141" t="s">
        <v>118</v>
      </c>
      <c r="X18" s="143">
        <f>V18*'Daftar HPP'!$L$96</f>
        <v>11489.68512486428</v>
      </c>
      <c r="Z18" s="141">
        <v>2</v>
      </c>
      <c r="AA18" s="142" t="s">
        <v>269</v>
      </c>
      <c r="AB18" s="141">
        <v>1</v>
      </c>
      <c r="AC18" s="141" t="s">
        <v>118</v>
      </c>
      <c r="AD18" s="143">
        <f>AB18*'Daftar HPP'!$L$96</f>
        <v>11489.68512486428</v>
      </c>
      <c r="AF18" s="141">
        <v>2</v>
      </c>
      <c r="AG18" s="142" t="s">
        <v>269</v>
      </c>
      <c r="AH18" s="141">
        <v>1</v>
      </c>
      <c r="AI18" s="141" t="s">
        <v>118</v>
      </c>
      <c r="AJ18" s="143">
        <f>AH18*'Daftar HPP'!$L$96</f>
        <v>11489.68512486428</v>
      </c>
    </row>
    <row r="19" spans="2:36" x14ac:dyDescent="0.45">
      <c r="B19" s="141">
        <v>3</v>
      </c>
      <c r="C19" s="142" t="s">
        <v>17</v>
      </c>
      <c r="D19" s="141">
        <v>30</v>
      </c>
      <c r="E19" s="141" t="s">
        <v>8</v>
      </c>
      <c r="F19" s="144">
        <f>D19*'Daftar HPP'!$F$152</f>
        <v>2093.9588100686497</v>
      </c>
      <c r="H19" s="141">
        <v>3</v>
      </c>
      <c r="I19" s="142" t="s">
        <v>25</v>
      </c>
      <c r="J19" s="141">
        <v>30</v>
      </c>
      <c r="K19" s="141" t="s">
        <v>8</v>
      </c>
      <c r="L19" s="144">
        <f>J19*'Daftar HPP'!$G$22</f>
        <v>1995</v>
      </c>
      <c r="N19" s="141">
        <v>3</v>
      </c>
      <c r="O19" s="142" t="s">
        <v>26</v>
      </c>
      <c r="P19" s="141">
        <v>30</v>
      </c>
      <c r="Q19" s="141" t="s">
        <v>8</v>
      </c>
      <c r="R19" s="144">
        <f>P19*'Daftar HPP'!$L$143</f>
        <v>1647.4064221926658</v>
      </c>
      <c r="T19" s="141">
        <v>3</v>
      </c>
      <c r="U19" s="142" t="s">
        <v>17</v>
      </c>
      <c r="V19" s="141">
        <v>30</v>
      </c>
      <c r="W19" s="141" t="s">
        <v>8</v>
      </c>
      <c r="X19" s="144">
        <f>V19*'Daftar HPP'!$F$152</f>
        <v>2093.9588100686497</v>
      </c>
      <c r="Z19" s="141">
        <v>3</v>
      </c>
      <c r="AA19" s="142" t="s">
        <v>25</v>
      </c>
      <c r="AB19" s="141">
        <v>30</v>
      </c>
      <c r="AC19" s="141" t="s">
        <v>8</v>
      </c>
      <c r="AD19" s="144">
        <f>AB19*'Daftar HPP'!$G$22</f>
        <v>1995</v>
      </c>
      <c r="AF19" s="141">
        <v>3</v>
      </c>
      <c r="AG19" s="142" t="s">
        <v>26</v>
      </c>
      <c r="AH19" s="141">
        <v>30</v>
      </c>
      <c r="AI19" s="141" t="s">
        <v>8</v>
      </c>
      <c r="AJ19" s="144">
        <f>AH19*'Daftar HPP'!$L$143</f>
        <v>1647.4064221926658</v>
      </c>
    </row>
    <row r="20" spans="2:36" x14ac:dyDescent="0.45">
      <c r="B20" s="141">
        <v>4</v>
      </c>
      <c r="C20" s="142" t="s">
        <v>105</v>
      </c>
      <c r="D20" s="141">
        <v>30</v>
      </c>
      <c r="E20" s="141" t="s">
        <v>8</v>
      </c>
      <c r="F20" s="144">
        <f>D20*'Daftar HPP'!$F$143</f>
        <v>2146.3497453310692</v>
      </c>
      <c r="H20" s="141">
        <v>4</v>
      </c>
      <c r="I20" s="142" t="s">
        <v>107</v>
      </c>
      <c r="J20" s="141">
        <v>30</v>
      </c>
      <c r="K20" s="141" t="s">
        <v>8</v>
      </c>
      <c r="L20" s="144">
        <f>J20*'Daftar HPP'!$L$152</f>
        <v>2144.1036802532649</v>
      </c>
      <c r="N20" s="141">
        <v>4</v>
      </c>
      <c r="O20" s="142" t="s">
        <v>105</v>
      </c>
      <c r="P20" s="141">
        <v>30</v>
      </c>
      <c r="Q20" s="141" t="s">
        <v>8</v>
      </c>
      <c r="R20" s="144">
        <f>P20*'Daftar HPP'!$F$143</f>
        <v>2146.3497453310692</v>
      </c>
      <c r="T20" s="141">
        <v>4</v>
      </c>
      <c r="U20" s="142" t="s">
        <v>105</v>
      </c>
      <c r="V20" s="141">
        <v>30</v>
      </c>
      <c r="W20" s="141" t="s">
        <v>8</v>
      </c>
      <c r="X20" s="144">
        <f>V20*'Daftar HPP'!$F$143</f>
        <v>2146.3497453310692</v>
      </c>
      <c r="Z20" s="141">
        <v>4</v>
      </c>
      <c r="AA20" s="142" t="s">
        <v>107</v>
      </c>
      <c r="AB20" s="141">
        <v>30</v>
      </c>
      <c r="AC20" s="141" t="s">
        <v>8</v>
      </c>
      <c r="AD20" s="144">
        <f>AB20*'Daftar HPP'!$L$152</f>
        <v>2144.1036802532649</v>
      </c>
      <c r="AF20" s="141">
        <v>4</v>
      </c>
      <c r="AG20" s="142" t="s">
        <v>105</v>
      </c>
      <c r="AH20" s="141">
        <v>30</v>
      </c>
      <c r="AI20" s="141" t="s">
        <v>8</v>
      </c>
      <c r="AJ20" s="144">
        <f>AH20*'Daftar HPP'!$F$143</f>
        <v>2146.3497453310692</v>
      </c>
    </row>
    <row r="21" spans="2:36" x14ac:dyDescent="0.45">
      <c r="B21" s="141">
        <v>5</v>
      </c>
      <c r="C21" s="142" t="s">
        <v>270</v>
      </c>
      <c r="D21" s="141">
        <v>1</v>
      </c>
      <c r="E21" s="141" t="s">
        <v>8</v>
      </c>
      <c r="F21" s="144">
        <f>D21*'Daftar HPP'!$G$33</f>
        <v>100</v>
      </c>
      <c r="H21" s="141">
        <v>5</v>
      </c>
      <c r="I21" s="142" t="s">
        <v>270</v>
      </c>
      <c r="J21" s="141">
        <v>1</v>
      </c>
      <c r="K21" s="141" t="s">
        <v>8</v>
      </c>
      <c r="L21" s="144">
        <f>J21*'Daftar HPP'!$G$33</f>
        <v>100</v>
      </c>
      <c r="N21" s="141">
        <v>5</v>
      </c>
      <c r="O21" s="142" t="s">
        <v>270</v>
      </c>
      <c r="P21" s="141">
        <v>1</v>
      </c>
      <c r="Q21" s="141" t="s">
        <v>8</v>
      </c>
      <c r="R21" s="144">
        <f>P21*'Daftar HPP'!$G$33</f>
        <v>100</v>
      </c>
      <c r="T21" s="141">
        <v>5</v>
      </c>
      <c r="U21" s="142" t="s">
        <v>270</v>
      </c>
      <c r="V21" s="141">
        <v>1</v>
      </c>
      <c r="W21" s="141" t="s">
        <v>8</v>
      </c>
      <c r="X21" s="144">
        <f>V21*'Daftar HPP'!$G$33</f>
        <v>100</v>
      </c>
      <c r="Z21" s="141">
        <v>5</v>
      </c>
      <c r="AA21" s="142" t="s">
        <v>270</v>
      </c>
      <c r="AB21" s="141">
        <v>1</v>
      </c>
      <c r="AC21" s="141" t="s">
        <v>8</v>
      </c>
      <c r="AD21" s="144">
        <f>AB21*'Daftar HPP'!$G$33</f>
        <v>100</v>
      </c>
      <c r="AF21" s="141">
        <v>5</v>
      </c>
      <c r="AG21" s="142" t="s">
        <v>270</v>
      </c>
      <c r="AH21" s="141">
        <v>1</v>
      </c>
      <c r="AI21" s="141" t="s">
        <v>8</v>
      </c>
      <c r="AJ21" s="144">
        <f>AH21*'Daftar HPP'!$G$33</f>
        <v>100</v>
      </c>
    </row>
    <row r="22" spans="2:36" x14ac:dyDescent="0.45">
      <c r="B22" s="141">
        <v>6</v>
      </c>
      <c r="C22" s="142" t="s">
        <v>251</v>
      </c>
      <c r="D22" s="141">
        <v>1</v>
      </c>
      <c r="E22" s="141" t="s">
        <v>28</v>
      </c>
      <c r="F22" s="144">
        <f>D22*'Daftar HPP'!$G$39</f>
        <v>1100</v>
      </c>
      <c r="H22" s="141">
        <v>6</v>
      </c>
      <c r="I22" s="142" t="s">
        <v>251</v>
      </c>
      <c r="J22" s="141">
        <v>1</v>
      </c>
      <c r="K22" s="141" t="s">
        <v>28</v>
      </c>
      <c r="L22" s="144">
        <f>J22*'Daftar HPP'!$G$39</f>
        <v>1100</v>
      </c>
      <c r="N22" s="141">
        <v>6</v>
      </c>
      <c r="O22" s="142" t="s">
        <v>251</v>
      </c>
      <c r="P22" s="141">
        <v>1</v>
      </c>
      <c r="Q22" s="141" t="s">
        <v>28</v>
      </c>
      <c r="R22" s="144">
        <f>P22*'Daftar HPP'!$G$39</f>
        <v>1100</v>
      </c>
      <c r="T22" s="141">
        <v>6</v>
      </c>
      <c r="U22" s="142" t="s">
        <v>251</v>
      </c>
      <c r="V22" s="141">
        <v>1</v>
      </c>
      <c r="W22" s="141" t="s">
        <v>28</v>
      </c>
      <c r="X22" s="144">
        <f>V22*'Daftar HPP'!$G$39</f>
        <v>1100</v>
      </c>
      <c r="Z22" s="141">
        <v>6</v>
      </c>
      <c r="AA22" s="142" t="s">
        <v>251</v>
      </c>
      <c r="AB22" s="141">
        <v>1</v>
      </c>
      <c r="AC22" s="141" t="s">
        <v>28</v>
      </c>
      <c r="AD22" s="144">
        <f>AB22*'Daftar HPP'!$G$39</f>
        <v>1100</v>
      </c>
      <c r="AF22" s="141">
        <v>6</v>
      </c>
      <c r="AG22" s="142" t="s">
        <v>251</v>
      </c>
      <c r="AH22" s="141">
        <v>1</v>
      </c>
      <c r="AI22" s="141" t="s">
        <v>28</v>
      </c>
      <c r="AJ22" s="144">
        <f>AH22*'Daftar HPP'!$G$39</f>
        <v>1100</v>
      </c>
    </row>
    <row r="23" spans="2:36" x14ac:dyDescent="0.45">
      <c r="B23" s="153"/>
      <c r="C23" s="150"/>
      <c r="D23" s="261" t="s">
        <v>53</v>
      </c>
      <c r="E23" s="261"/>
      <c r="F23" s="190">
        <f>SUM(F17:F22)</f>
        <v>17975.830217589941</v>
      </c>
      <c r="H23" s="153"/>
      <c r="I23" s="150"/>
      <c r="J23" s="261" t="s">
        <v>53</v>
      </c>
      <c r="K23" s="261"/>
      <c r="L23" s="190">
        <f>SUM(L17:L22)</f>
        <v>17874.625342443487</v>
      </c>
      <c r="N23" s="153"/>
      <c r="O23" s="150"/>
      <c r="P23" s="261" t="s">
        <v>53</v>
      </c>
      <c r="Q23" s="261"/>
      <c r="R23" s="190">
        <f>SUM(R17:R22)</f>
        <v>17529.277829713956</v>
      </c>
      <c r="T23" s="153"/>
      <c r="U23" s="150"/>
      <c r="V23" s="261" t="s">
        <v>53</v>
      </c>
      <c r="W23" s="261"/>
      <c r="X23" s="190">
        <f>SUM(X17:X22)</f>
        <v>26681.456838158734</v>
      </c>
      <c r="Z23" s="153"/>
      <c r="AA23" s="150"/>
      <c r="AB23" s="261" t="s">
        <v>53</v>
      </c>
      <c r="AC23" s="261"/>
      <c r="AD23" s="190">
        <f>SUM(AD17:AD22)</f>
        <v>26580.251963012281</v>
      </c>
      <c r="AF23" s="153"/>
      <c r="AG23" s="150"/>
      <c r="AH23" s="261" t="s">
        <v>53</v>
      </c>
      <c r="AI23" s="261"/>
      <c r="AJ23" s="190">
        <f>SUM(AJ17:AJ22)</f>
        <v>26234.904450282753</v>
      </c>
    </row>
    <row r="24" spans="2:36" x14ac:dyDescent="0.45">
      <c r="B24" s="153"/>
      <c r="C24" s="153"/>
      <c r="D24" s="256" t="s">
        <v>116</v>
      </c>
      <c r="E24" s="256"/>
      <c r="F24" s="147">
        <v>29000</v>
      </c>
      <c r="H24" s="153"/>
      <c r="I24" s="153"/>
      <c r="J24" s="256" t="s">
        <v>116</v>
      </c>
      <c r="K24" s="256"/>
      <c r="L24" s="147">
        <v>29000</v>
      </c>
      <c r="N24" s="153"/>
      <c r="O24" s="153"/>
      <c r="P24" s="256" t="s">
        <v>116</v>
      </c>
      <c r="Q24" s="256"/>
      <c r="R24" s="147">
        <v>29000</v>
      </c>
      <c r="T24" s="153"/>
      <c r="U24" s="153"/>
      <c r="V24" s="256" t="s">
        <v>116</v>
      </c>
      <c r="W24" s="256"/>
      <c r="X24" s="147">
        <v>43000</v>
      </c>
      <c r="Z24" s="153"/>
      <c r="AA24" s="153"/>
      <c r="AB24" s="256" t="s">
        <v>116</v>
      </c>
      <c r="AC24" s="256"/>
      <c r="AD24" s="147">
        <v>43000</v>
      </c>
      <c r="AF24" s="153"/>
      <c r="AG24" s="153"/>
      <c r="AH24" s="256" t="s">
        <v>116</v>
      </c>
      <c r="AI24" s="256"/>
      <c r="AJ24" s="147">
        <v>43000</v>
      </c>
    </row>
    <row r="25" spans="2:36" x14ac:dyDescent="0.45">
      <c r="B25" s="153"/>
      <c r="C25" s="153"/>
      <c r="D25" s="256" t="s">
        <v>119</v>
      </c>
      <c r="E25" s="256"/>
      <c r="F25" s="148">
        <f>F24-F23</f>
        <v>11024.169782410059</v>
      </c>
      <c r="H25" s="153"/>
      <c r="I25" s="153"/>
      <c r="J25" s="256" t="s">
        <v>119</v>
      </c>
      <c r="K25" s="256"/>
      <c r="L25" s="148">
        <f>L24-L23</f>
        <v>11125.374657556513</v>
      </c>
      <c r="N25" s="153"/>
      <c r="O25" s="153"/>
      <c r="P25" s="256" t="s">
        <v>119</v>
      </c>
      <c r="Q25" s="256"/>
      <c r="R25" s="148">
        <f>R24-R23</f>
        <v>11470.722170286044</v>
      </c>
      <c r="T25" s="153"/>
      <c r="U25" s="153"/>
      <c r="V25" s="256" t="s">
        <v>119</v>
      </c>
      <c r="W25" s="256"/>
      <c r="X25" s="148">
        <f>X24-X23</f>
        <v>16318.543161841266</v>
      </c>
      <c r="Z25" s="153"/>
      <c r="AA25" s="153"/>
      <c r="AB25" s="256" t="s">
        <v>119</v>
      </c>
      <c r="AC25" s="256"/>
      <c r="AD25" s="148">
        <f>AD24-AD23</f>
        <v>16419.748036987719</v>
      </c>
      <c r="AF25" s="153"/>
      <c r="AG25" s="153"/>
      <c r="AH25" s="256" t="s">
        <v>119</v>
      </c>
      <c r="AI25" s="256"/>
      <c r="AJ25" s="148">
        <f>AJ24-AJ23</f>
        <v>16765.095549717247</v>
      </c>
    </row>
    <row r="27" spans="2:36" ht="14.65" thickBot="1" x14ac:dyDescent="0.5">
      <c r="B27" s="2" t="s">
        <v>257</v>
      </c>
      <c r="H27" s="2" t="s">
        <v>261</v>
      </c>
      <c r="T27" s="2" t="s">
        <v>257</v>
      </c>
      <c r="Z27" s="2" t="s">
        <v>261</v>
      </c>
    </row>
    <row r="28" spans="2:36" x14ac:dyDescent="0.45">
      <c r="B28" s="119" t="s">
        <v>0</v>
      </c>
      <c r="C28" s="119" t="s">
        <v>49</v>
      </c>
      <c r="D28" s="119" t="s">
        <v>34</v>
      </c>
      <c r="E28" s="119" t="s">
        <v>50</v>
      </c>
      <c r="F28" s="119" t="s">
        <v>36</v>
      </c>
      <c r="H28" s="119" t="s">
        <v>0</v>
      </c>
      <c r="I28" s="119" t="s">
        <v>49</v>
      </c>
      <c r="J28" s="119" t="s">
        <v>34</v>
      </c>
      <c r="K28" s="119" t="s">
        <v>50</v>
      </c>
      <c r="L28" s="119" t="s">
        <v>36</v>
      </c>
      <c r="T28" s="119" t="s">
        <v>0</v>
      </c>
      <c r="U28" s="119" t="s">
        <v>49</v>
      </c>
      <c r="V28" s="119" t="s">
        <v>34</v>
      </c>
      <c r="W28" s="119" t="s">
        <v>50</v>
      </c>
      <c r="X28" s="119" t="s">
        <v>36</v>
      </c>
      <c r="Z28" s="119" t="s">
        <v>0</v>
      </c>
      <c r="AA28" s="119" t="s">
        <v>49</v>
      </c>
      <c r="AB28" s="119" t="s">
        <v>34</v>
      </c>
      <c r="AC28" s="119" t="s">
        <v>50</v>
      </c>
      <c r="AD28" s="119" t="s">
        <v>36</v>
      </c>
    </row>
    <row r="29" spans="2:36" x14ac:dyDescent="0.45">
      <c r="B29" s="141">
        <v>1</v>
      </c>
      <c r="C29" s="142" t="s">
        <v>112</v>
      </c>
      <c r="D29" s="141">
        <v>1</v>
      </c>
      <c r="E29" s="141" t="s">
        <v>6</v>
      </c>
      <c r="F29" s="143">
        <f>D29*'Daftar HPP'!$L$57</f>
        <v>4875.7315789473687</v>
      </c>
      <c r="H29" s="141">
        <v>1</v>
      </c>
      <c r="I29" s="142" t="s">
        <v>112</v>
      </c>
      <c r="J29" s="141">
        <v>1</v>
      </c>
      <c r="K29" s="141" t="s">
        <v>6</v>
      </c>
      <c r="L29" s="143">
        <f>J29*'Daftar HPP'!$L$57</f>
        <v>4875.7315789473687</v>
      </c>
      <c r="T29" s="141">
        <v>1</v>
      </c>
      <c r="U29" s="142" t="s">
        <v>112</v>
      </c>
      <c r="V29" s="141">
        <v>2</v>
      </c>
      <c r="W29" s="141" t="s">
        <v>6</v>
      </c>
      <c r="X29" s="143">
        <f>V29*'Daftar HPP'!$L$57</f>
        <v>9751.4631578947374</v>
      </c>
      <c r="Z29" s="141">
        <v>1</v>
      </c>
      <c r="AA29" s="142" t="s">
        <v>112</v>
      </c>
      <c r="AB29" s="141">
        <v>2</v>
      </c>
      <c r="AC29" s="141" t="s">
        <v>6</v>
      </c>
      <c r="AD29" s="143">
        <f>AB29*'Daftar HPP'!$L$57</f>
        <v>9751.4631578947374</v>
      </c>
    </row>
    <row r="30" spans="2:36" x14ac:dyDescent="0.45">
      <c r="B30" s="141">
        <v>2</v>
      </c>
      <c r="C30" s="142" t="s">
        <v>254</v>
      </c>
      <c r="D30" s="141">
        <v>1</v>
      </c>
      <c r="E30" s="141" t="s">
        <v>118</v>
      </c>
      <c r="F30" s="143">
        <f>D30*'Daftar HPP'!$F$105</f>
        <v>7659.7900832428531</v>
      </c>
      <c r="H30" s="141">
        <v>2</v>
      </c>
      <c r="I30" s="142" t="s">
        <v>254</v>
      </c>
      <c r="J30" s="141">
        <v>1</v>
      </c>
      <c r="K30" s="141" t="s">
        <v>118</v>
      </c>
      <c r="L30" s="143">
        <f>J30*'Daftar HPP'!$F$105</f>
        <v>7659.7900832428531</v>
      </c>
      <c r="T30" s="141">
        <v>2</v>
      </c>
      <c r="U30" s="142" t="s">
        <v>269</v>
      </c>
      <c r="V30" s="141">
        <v>1</v>
      </c>
      <c r="W30" s="141" t="s">
        <v>118</v>
      </c>
      <c r="X30" s="143">
        <f>V30*'Daftar HPP'!$L$96</f>
        <v>11489.68512486428</v>
      </c>
      <c r="Z30" s="141">
        <v>2</v>
      </c>
      <c r="AA30" s="142" t="s">
        <v>269</v>
      </c>
      <c r="AB30" s="141">
        <v>1</v>
      </c>
      <c r="AC30" s="141" t="s">
        <v>118</v>
      </c>
      <c r="AD30" s="143">
        <f>AB30*'Daftar HPP'!$L$96</f>
        <v>11489.68512486428</v>
      </c>
    </row>
    <row r="31" spans="2:36" x14ac:dyDescent="0.45">
      <c r="B31" s="141">
        <v>3</v>
      </c>
      <c r="C31" s="142" t="s">
        <v>17</v>
      </c>
      <c r="D31" s="141">
        <v>30</v>
      </c>
      <c r="E31" s="141" t="s">
        <v>8</v>
      </c>
      <c r="F31" s="144">
        <f>D31*'Daftar HPP'!$F$152</f>
        <v>2093.9588100686497</v>
      </c>
      <c r="H31" s="141">
        <v>3</v>
      </c>
      <c r="I31" s="142" t="s">
        <v>25</v>
      </c>
      <c r="J31" s="141">
        <v>30</v>
      </c>
      <c r="K31" s="141" t="s">
        <v>8</v>
      </c>
      <c r="L31" s="144">
        <f>J31*'Daftar HPP'!$G$22</f>
        <v>1995</v>
      </c>
      <c r="T31" s="141">
        <v>3</v>
      </c>
      <c r="U31" s="142" t="s">
        <v>17</v>
      </c>
      <c r="V31" s="141">
        <v>30</v>
      </c>
      <c r="W31" s="141" t="s">
        <v>8</v>
      </c>
      <c r="X31" s="144">
        <f>V31*'Daftar HPP'!$F$152</f>
        <v>2093.9588100686497</v>
      </c>
      <c r="Z31" s="141">
        <v>3</v>
      </c>
      <c r="AA31" s="142" t="s">
        <v>25</v>
      </c>
      <c r="AB31" s="141">
        <v>30</v>
      </c>
      <c r="AC31" s="141" t="s">
        <v>8</v>
      </c>
      <c r="AD31" s="144">
        <f>AB31*'Daftar HPP'!$G$22</f>
        <v>1995</v>
      </c>
    </row>
    <row r="32" spans="2:36" x14ac:dyDescent="0.45">
      <c r="B32" s="141">
        <v>4</v>
      </c>
      <c r="C32" s="142" t="s">
        <v>107</v>
      </c>
      <c r="D32" s="141">
        <v>30</v>
      </c>
      <c r="E32" s="141" t="s">
        <v>8</v>
      </c>
      <c r="F32" s="144">
        <f>D32*'Daftar HPP'!$L$152</f>
        <v>2144.1036802532649</v>
      </c>
      <c r="H32" s="141">
        <v>4</v>
      </c>
      <c r="I32" s="142" t="s">
        <v>26</v>
      </c>
      <c r="J32" s="141">
        <v>30</v>
      </c>
      <c r="K32" s="141" t="s">
        <v>8</v>
      </c>
      <c r="L32" s="144">
        <f>J32*'Daftar HPP'!$L$143</f>
        <v>1647.4064221926658</v>
      </c>
      <c r="T32" s="141">
        <v>4</v>
      </c>
      <c r="U32" s="142" t="s">
        <v>107</v>
      </c>
      <c r="V32" s="141">
        <v>30</v>
      </c>
      <c r="W32" s="141" t="s">
        <v>8</v>
      </c>
      <c r="X32" s="144">
        <f>V32*'Daftar HPP'!$L$152</f>
        <v>2144.1036802532649</v>
      </c>
      <c r="Z32" s="141">
        <v>4</v>
      </c>
      <c r="AA32" s="142" t="s">
        <v>26</v>
      </c>
      <c r="AB32" s="141">
        <v>30</v>
      </c>
      <c r="AC32" s="141" t="s">
        <v>8</v>
      </c>
      <c r="AD32" s="144">
        <f>AB32*'Daftar HPP'!$L$143</f>
        <v>1647.4064221926658</v>
      </c>
    </row>
    <row r="33" spans="2:30" x14ac:dyDescent="0.45">
      <c r="B33" s="141">
        <v>5</v>
      </c>
      <c r="C33" s="142" t="s">
        <v>270</v>
      </c>
      <c r="D33" s="141">
        <v>1</v>
      </c>
      <c r="E33" s="141" t="s">
        <v>8</v>
      </c>
      <c r="F33" s="144">
        <f>D33*'Daftar HPP'!$G$33</f>
        <v>100</v>
      </c>
      <c r="H33" s="141">
        <v>5</v>
      </c>
      <c r="I33" s="142" t="s">
        <v>270</v>
      </c>
      <c r="J33" s="141">
        <v>1</v>
      </c>
      <c r="K33" s="141" t="s">
        <v>8</v>
      </c>
      <c r="L33" s="144">
        <f>J33*'Daftar HPP'!$G$33</f>
        <v>100</v>
      </c>
      <c r="T33" s="141">
        <v>5</v>
      </c>
      <c r="U33" s="142" t="s">
        <v>270</v>
      </c>
      <c r="V33" s="141">
        <v>1</v>
      </c>
      <c r="W33" s="141" t="s">
        <v>8</v>
      </c>
      <c r="X33" s="144">
        <f>V33*'Daftar HPP'!$G$33</f>
        <v>100</v>
      </c>
      <c r="Z33" s="141">
        <v>5</v>
      </c>
      <c r="AA33" s="142" t="s">
        <v>270</v>
      </c>
      <c r="AB33" s="141">
        <v>1</v>
      </c>
      <c r="AC33" s="141" t="s">
        <v>8</v>
      </c>
      <c r="AD33" s="144">
        <f>AB33*'Daftar HPP'!$G$33</f>
        <v>100</v>
      </c>
    </row>
    <row r="34" spans="2:30" x14ac:dyDescent="0.45">
      <c r="B34" s="141">
        <v>6</v>
      </c>
      <c r="C34" s="142" t="s">
        <v>251</v>
      </c>
      <c r="D34" s="141">
        <v>1</v>
      </c>
      <c r="E34" s="141" t="s">
        <v>28</v>
      </c>
      <c r="F34" s="144">
        <f>D34*'Daftar HPP'!$G$39</f>
        <v>1100</v>
      </c>
      <c r="H34" s="141">
        <v>6</v>
      </c>
      <c r="I34" s="142" t="s">
        <v>251</v>
      </c>
      <c r="J34" s="141">
        <v>1</v>
      </c>
      <c r="K34" s="141" t="s">
        <v>28</v>
      </c>
      <c r="L34" s="144">
        <f>J34*'Daftar HPP'!$G$39</f>
        <v>1100</v>
      </c>
      <c r="T34" s="141">
        <v>6</v>
      </c>
      <c r="U34" s="142" t="s">
        <v>251</v>
      </c>
      <c r="V34" s="141">
        <v>1</v>
      </c>
      <c r="W34" s="141" t="s">
        <v>28</v>
      </c>
      <c r="X34" s="144">
        <f>V34*'Daftar HPP'!$G$39</f>
        <v>1100</v>
      </c>
      <c r="Z34" s="141">
        <v>6</v>
      </c>
      <c r="AA34" s="142" t="s">
        <v>251</v>
      </c>
      <c r="AB34" s="141">
        <v>1</v>
      </c>
      <c r="AC34" s="141" t="s">
        <v>28</v>
      </c>
      <c r="AD34" s="144">
        <f>AB34*'Daftar HPP'!$G$39</f>
        <v>1100</v>
      </c>
    </row>
    <row r="35" spans="2:30" x14ac:dyDescent="0.45">
      <c r="B35" s="153"/>
      <c r="C35" s="150"/>
      <c r="D35" s="261" t="s">
        <v>53</v>
      </c>
      <c r="E35" s="261"/>
      <c r="F35" s="190">
        <f>SUM(F29:F34)</f>
        <v>17973.584152512136</v>
      </c>
      <c r="H35" s="153"/>
      <c r="I35" s="150"/>
      <c r="J35" s="257" t="s">
        <v>53</v>
      </c>
      <c r="K35" s="258"/>
      <c r="L35" s="190">
        <f>SUM(L29:L34)</f>
        <v>17377.928084382889</v>
      </c>
      <c r="T35" s="153"/>
      <c r="U35" s="150"/>
      <c r="V35" s="261" t="s">
        <v>53</v>
      </c>
      <c r="W35" s="261"/>
      <c r="X35" s="190">
        <f>SUM(X29:X34)</f>
        <v>26679.210773080929</v>
      </c>
      <c r="Z35" s="153"/>
      <c r="AA35" s="150"/>
      <c r="AB35" s="257" t="s">
        <v>53</v>
      </c>
      <c r="AC35" s="258"/>
      <c r="AD35" s="190">
        <f>SUM(AD29:AD34)</f>
        <v>26083.554704951683</v>
      </c>
    </row>
    <row r="36" spans="2:30" x14ac:dyDescent="0.45">
      <c r="B36" s="153"/>
      <c r="C36" s="153"/>
      <c r="D36" s="256" t="s">
        <v>116</v>
      </c>
      <c r="E36" s="256"/>
      <c r="F36" s="147">
        <v>29000</v>
      </c>
      <c r="H36" s="153"/>
      <c r="I36" s="153"/>
      <c r="J36" s="251" t="s">
        <v>116</v>
      </c>
      <c r="K36" s="252"/>
      <c r="L36" s="147">
        <v>29000</v>
      </c>
      <c r="T36" s="153"/>
      <c r="U36" s="153"/>
      <c r="V36" s="256" t="s">
        <v>116</v>
      </c>
      <c r="W36" s="256"/>
      <c r="X36" s="147">
        <v>43000</v>
      </c>
      <c r="Z36" s="153"/>
      <c r="AA36" s="153"/>
      <c r="AB36" s="251" t="s">
        <v>116</v>
      </c>
      <c r="AC36" s="252"/>
      <c r="AD36" s="147">
        <v>43000</v>
      </c>
    </row>
    <row r="37" spans="2:30" x14ac:dyDescent="0.45">
      <c r="B37" s="153"/>
      <c r="C37" s="153"/>
      <c r="D37" s="256" t="s">
        <v>119</v>
      </c>
      <c r="E37" s="256"/>
      <c r="F37" s="148">
        <f>F36-F35</f>
        <v>11026.415847487864</v>
      </c>
      <c r="H37" s="153"/>
      <c r="I37" s="153"/>
      <c r="J37" s="256" t="s">
        <v>119</v>
      </c>
      <c r="K37" s="256"/>
      <c r="L37" s="148">
        <f>L36-L35</f>
        <v>11622.071915617111</v>
      </c>
      <c r="T37" s="153"/>
      <c r="U37" s="153"/>
      <c r="V37" s="256" t="s">
        <v>119</v>
      </c>
      <c r="W37" s="256"/>
      <c r="X37" s="148">
        <f>X36-X35</f>
        <v>16320.789226919071</v>
      </c>
      <c r="Z37" s="153"/>
      <c r="AA37" s="153"/>
      <c r="AB37" s="256" t="s">
        <v>119</v>
      </c>
      <c r="AC37" s="256"/>
      <c r="AD37" s="148">
        <f>AD36-AD35</f>
        <v>16916.445295048317</v>
      </c>
    </row>
    <row r="39" spans="2:30" ht="14.65" thickBot="1" x14ac:dyDescent="0.5">
      <c r="B39" s="2" t="s">
        <v>258</v>
      </c>
      <c r="H39" s="2" t="s">
        <v>262</v>
      </c>
      <c r="T39" s="2" t="s">
        <v>258</v>
      </c>
      <c r="Z39" s="2" t="s">
        <v>262</v>
      </c>
    </row>
    <row r="40" spans="2:30" x14ac:dyDescent="0.45">
      <c r="B40" s="119" t="s">
        <v>0</v>
      </c>
      <c r="C40" s="119" t="s">
        <v>49</v>
      </c>
      <c r="D40" s="119" t="s">
        <v>34</v>
      </c>
      <c r="E40" s="119" t="s">
        <v>50</v>
      </c>
      <c r="F40" s="119" t="s">
        <v>36</v>
      </c>
      <c r="H40" s="119" t="s">
        <v>0</v>
      </c>
      <c r="I40" s="119" t="s">
        <v>49</v>
      </c>
      <c r="J40" s="119" t="s">
        <v>34</v>
      </c>
      <c r="K40" s="119" t="s">
        <v>50</v>
      </c>
      <c r="L40" s="119" t="s">
        <v>36</v>
      </c>
      <c r="T40" s="119" t="s">
        <v>0</v>
      </c>
      <c r="U40" s="119" t="s">
        <v>49</v>
      </c>
      <c r="V40" s="119" t="s">
        <v>34</v>
      </c>
      <c r="W40" s="119" t="s">
        <v>50</v>
      </c>
      <c r="X40" s="119" t="s">
        <v>36</v>
      </c>
      <c r="Z40" s="119" t="s">
        <v>0</v>
      </c>
      <c r="AA40" s="119" t="s">
        <v>49</v>
      </c>
      <c r="AB40" s="119" t="s">
        <v>34</v>
      </c>
      <c r="AC40" s="119" t="s">
        <v>50</v>
      </c>
      <c r="AD40" s="119" t="s">
        <v>36</v>
      </c>
    </row>
    <row r="41" spans="2:30" x14ac:dyDescent="0.45">
      <c r="B41" s="141">
        <v>1</v>
      </c>
      <c r="C41" s="142" t="s">
        <v>112</v>
      </c>
      <c r="D41" s="141">
        <v>1</v>
      </c>
      <c r="E41" s="141" t="s">
        <v>6</v>
      </c>
      <c r="F41" s="143">
        <f>D41*'Daftar HPP'!$L$57</f>
        <v>4875.7315789473687</v>
      </c>
      <c r="H41" s="141">
        <v>1</v>
      </c>
      <c r="I41" s="142" t="s">
        <v>112</v>
      </c>
      <c r="J41" s="141">
        <v>1</v>
      </c>
      <c r="K41" s="141" t="s">
        <v>6</v>
      </c>
      <c r="L41" s="143">
        <f>J41*'Daftar HPP'!$L$57</f>
        <v>4875.7315789473687</v>
      </c>
      <c r="T41" s="141">
        <v>1</v>
      </c>
      <c r="U41" s="142" t="s">
        <v>112</v>
      </c>
      <c r="V41" s="141">
        <v>2</v>
      </c>
      <c r="W41" s="141" t="s">
        <v>6</v>
      </c>
      <c r="X41" s="143">
        <f>V41*'Daftar HPP'!$L$57</f>
        <v>9751.4631578947374</v>
      </c>
      <c r="Z41" s="141">
        <v>1</v>
      </c>
      <c r="AA41" s="142" t="s">
        <v>112</v>
      </c>
      <c r="AB41" s="141">
        <v>2</v>
      </c>
      <c r="AC41" s="141" t="s">
        <v>6</v>
      </c>
      <c r="AD41" s="143">
        <f>AB41*'Daftar HPP'!$L$57</f>
        <v>9751.4631578947374</v>
      </c>
    </row>
    <row r="42" spans="2:30" x14ac:dyDescent="0.45">
      <c r="B42" s="141">
        <v>2</v>
      </c>
      <c r="C42" s="142" t="s">
        <v>254</v>
      </c>
      <c r="D42" s="141">
        <v>1</v>
      </c>
      <c r="E42" s="141" t="s">
        <v>118</v>
      </c>
      <c r="F42" s="143">
        <f>D42*'Daftar HPP'!$F$105</f>
        <v>7659.7900832428531</v>
      </c>
      <c r="H42" s="141">
        <v>2</v>
      </c>
      <c r="I42" s="142" t="s">
        <v>254</v>
      </c>
      <c r="J42" s="141">
        <v>1</v>
      </c>
      <c r="K42" s="141" t="s">
        <v>118</v>
      </c>
      <c r="L42" s="143">
        <f>J42*'Daftar HPP'!$F$105</f>
        <v>7659.7900832428531</v>
      </c>
      <c r="T42" s="141">
        <v>2</v>
      </c>
      <c r="U42" s="142" t="s">
        <v>269</v>
      </c>
      <c r="V42" s="141">
        <v>1</v>
      </c>
      <c r="W42" s="141" t="s">
        <v>118</v>
      </c>
      <c r="X42" s="143">
        <f>V42*'Daftar HPP'!$L$96</f>
        <v>11489.68512486428</v>
      </c>
      <c r="Z42" s="141">
        <v>2</v>
      </c>
      <c r="AA42" s="142" t="s">
        <v>269</v>
      </c>
      <c r="AB42" s="141">
        <v>1</v>
      </c>
      <c r="AC42" s="141" t="s">
        <v>118</v>
      </c>
      <c r="AD42" s="143">
        <f>AB42*'Daftar HPP'!$L$96</f>
        <v>11489.68512486428</v>
      </c>
    </row>
    <row r="43" spans="2:30" x14ac:dyDescent="0.45">
      <c r="B43" s="141">
        <v>3</v>
      </c>
      <c r="C43" s="142" t="s">
        <v>17</v>
      </c>
      <c r="D43" s="141">
        <v>30</v>
      </c>
      <c r="E43" s="141" t="s">
        <v>8</v>
      </c>
      <c r="F43" s="144">
        <f>D43*'Daftar HPP'!$F$152</f>
        <v>2093.9588100686497</v>
      </c>
      <c r="H43" s="141">
        <v>3</v>
      </c>
      <c r="I43" s="142" t="s">
        <v>107</v>
      </c>
      <c r="J43" s="141">
        <v>30</v>
      </c>
      <c r="K43" s="141" t="s">
        <v>8</v>
      </c>
      <c r="L43" s="144">
        <f>J43*'Daftar HPP'!$L$152</f>
        <v>2144.1036802532649</v>
      </c>
      <c r="T43" s="141">
        <v>3</v>
      </c>
      <c r="U43" s="142" t="s">
        <v>17</v>
      </c>
      <c r="V43" s="141">
        <v>30</v>
      </c>
      <c r="W43" s="141" t="s">
        <v>8</v>
      </c>
      <c r="X43" s="144">
        <f>V43*'Daftar HPP'!$F$152</f>
        <v>2093.9588100686497</v>
      </c>
      <c r="Z43" s="141">
        <v>3</v>
      </c>
      <c r="AA43" s="142" t="s">
        <v>107</v>
      </c>
      <c r="AB43" s="141">
        <v>30</v>
      </c>
      <c r="AC43" s="141" t="s">
        <v>8</v>
      </c>
      <c r="AD43" s="144">
        <f>AB43*'Daftar HPP'!$L$152</f>
        <v>2144.1036802532649</v>
      </c>
    </row>
    <row r="44" spans="2:30" x14ac:dyDescent="0.45">
      <c r="B44" s="141">
        <v>4</v>
      </c>
      <c r="C44" s="142" t="s">
        <v>26</v>
      </c>
      <c r="D44" s="141">
        <v>30</v>
      </c>
      <c r="E44" s="141" t="s">
        <v>8</v>
      </c>
      <c r="F44" s="144">
        <f>D44*'Daftar HPP'!$L$143</f>
        <v>1647.4064221926658</v>
      </c>
      <c r="H44" s="141">
        <v>4</v>
      </c>
      <c r="I44" s="142" t="s">
        <v>105</v>
      </c>
      <c r="J44" s="141">
        <v>30</v>
      </c>
      <c r="K44" s="141" t="s">
        <v>8</v>
      </c>
      <c r="L44" s="144">
        <f>J44*'Daftar HPP'!$F$143</f>
        <v>2146.3497453310692</v>
      </c>
      <c r="T44" s="141">
        <v>4</v>
      </c>
      <c r="U44" s="142" t="s">
        <v>26</v>
      </c>
      <c r="V44" s="141">
        <v>30</v>
      </c>
      <c r="W44" s="141" t="s">
        <v>8</v>
      </c>
      <c r="X44" s="144">
        <f>V44*'Daftar HPP'!$L$143</f>
        <v>1647.4064221926658</v>
      </c>
      <c r="Z44" s="141">
        <v>4</v>
      </c>
      <c r="AA44" s="142" t="s">
        <v>105</v>
      </c>
      <c r="AB44" s="141">
        <v>30</v>
      </c>
      <c r="AC44" s="141" t="s">
        <v>8</v>
      </c>
      <c r="AD44" s="144">
        <f>AB44*'Daftar HPP'!$F$143</f>
        <v>2146.3497453310692</v>
      </c>
    </row>
    <row r="45" spans="2:30" x14ac:dyDescent="0.45">
      <c r="B45" s="141">
        <v>5</v>
      </c>
      <c r="C45" s="142" t="s">
        <v>270</v>
      </c>
      <c r="D45" s="141">
        <v>1</v>
      </c>
      <c r="E45" s="141" t="s">
        <v>8</v>
      </c>
      <c r="F45" s="144">
        <f>D45*'Daftar HPP'!$G$33</f>
        <v>100</v>
      </c>
      <c r="H45" s="141">
        <v>5</v>
      </c>
      <c r="I45" s="142" t="s">
        <v>270</v>
      </c>
      <c r="J45" s="141">
        <v>1</v>
      </c>
      <c r="K45" s="141" t="s">
        <v>8</v>
      </c>
      <c r="L45" s="144">
        <f>J45*'Daftar HPP'!$G$33</f>
        <v>100</v>
      </c>
      <c r="T45" s="141">
        <v>5</v>
      </c>
      <c r="U45" s="142" t="s">
        <v>270</v>
      </c>
      <c r="V45" s="141">
        <v>1</v>
      </c>
      <c r="W45" s="141" t="s">
        <v>8</v>
      </c>
      <c r="X45" s="144">
        <f>V45*'Daftar HPP'!$G$33</f>
        <v>100</v>
      </c>
      <c r="Z45" s="141">
        <v>5</v>
      </c>
      <c r="AA45" s="142" t="s">
        <v>270</v>
      </c>
      <c r="AB45" s="141">
        <v>1</v>
      </c>
      <c r="AC45" s="141" t="s">
        <v>8</v>
      </c>
      <c r="AD45" s="144">
        <f>AB45*'Daftar HPP'!$G$33</f>
        <v>100</v>
      </c>
    </row>
    <row r="46" spans="2:30" x14ac:dyDescent="0.45">
      <c r="B46" s="141">
        <v>6</v>
      </c>
      <c r="C46" s="142" t="s">
        <v>251</v>
      </c>
      <c r="D46" s="141">
        <v>1</v>
      </c>
      <c r="E46" s="141" t="s">
        <v>28</v>
      </c>
      <c r="F46" s="144">
        <f>D46*'Daftar HPP'!$G$39</f>
        <v>1100</v>
      </c>
      <c r="H46" s="141">
        <v>6</v>
      </c>
      <c r="I46" s="142" t="s">
        <v>251</v>
      </c>
      <c r="J46" s="141">
        <v>1</v>
      </c>
      <c r="K46" s="141" t="s">
        <v>28</v>
      </c>
      <c r="L46" s="144">
        <f>J46*'Daftar HPP'!$G$39</f>
        <v>1100</v>
      </c>
      <c r="T46" s="141">
        <v>6</v>
      </c>
      <c r="U46" s="142" t="s">
        <v>251</v>
      </c>
      <c r="V46" s="141">
        <v>1</v>
      </c>
      <c r="W46" s="141" t="s">
        <v>28</v>
      </c>
      <c r="X46" s="144">
        <f>V46*'Daftar HPP'!$G$39</f>
        <v>1100</v>
      </c>
      <c r="Z46" s="141">
        <v>6</v>
      </c>
      <c r="AA46" s="142" t="s">
        <v>251</v>
      </c>
      <c r="AB46" s="141">
        <v>1</v>
      </c>
      <c r="AC46" s="141" t="s">
        <v>28</v>
      </c>
      <c r="AD46" s="144">
        <f>AB46*'Daftar HPP'!$G$39</f>
        <v>1100</v>
      </c>
    </row>
    <row r="47" spans="2:30" x14ac:dyDescent="0.45">
      <c r="B47" s="153"/>
      <c r="C47" s="150"/>
      <c r="D47" s="261" t="s">
        <v>53</v>
      </c>
      <c r="E47" s="261"/>
      <c r="F47" s="190">
        <f>SUM(F41:F46)</f>
        <v>17476.886894451534</v>
      </c>
      <c r="H47" s="153"/>
      <c r="I47" s="150"/>
      <c r="J47" s="261" t="s">
        <v>53</v>
      </c>
      <c r="K47" s="261"/>
      <c r="L47" s="190">
        <f>SUM(L41:L46)</f>
        <v>18025.975087774557</v>
      </c>
      <c r="T47" s="153"/>
      <c r="U47" s="150"/>
      <c r="V47" s="261" t="s">
        <v>53</v>
      </c>
      <c r="W47" s="261"/>
      <c r="X47" s="190">
        <f>SUM(X41:X46)</f>
        <v>26182.513515020331</v>
      </c>
      <c r="Z47" s="153"/>
      <c r="AA47" s="150"/>
      <c r="AB47" s="261" t="s">
        <v>53</v>
      </c>
      <c r="AC47" s="261"/>
      <c r="AD47" s="190">
        <f>SUM(AD41:AD46)</f>
        <v>26731.601708343351</v>
      </c>
    </row>
    <row r="48" spans="2:30" x14ac:dyDescent="0.45">
      <c r="B48" s="153"/>
      <c r="C48" s="153"/>
      <c r="D48" s="256" t="s">
        <v>116</v>
      </c>
      <c r="E48" s="256"/>
      <c r="F48" s="147">
        <v>29000</v>
      </c>
      <c r="H48" s="153"/>
      <c r="I48" s="153"/>
      <c r="J48" s="256" t="s">
        <v>116</v>
      </c>
      <c r="K48" s="256"/>
      <c r="L48" s="147">
        <v>29000</v>
      </c>
      <c r="T48" s="153"/>
      <c r="U48" s="153"/>
      <c r="V48" s="256" t="s">
        <v>116</v>
      </c>
      <c r="W48" s="256"/>
      <c r="X48" s="147">
        <v>43000</v>
      </c>
      <c r="Z48" s="153"/>
      <c r="AA48" s="153"/>
      <c r="AB48" s="256" t="s">
        <v>116</v>
      </c>
      <c r="AC48" s="256"/>
      <c r="AD48" s="147">
        <v>43000</v>
      </c>
    </row>
    <row r="49" spans="2:36" x14ac:dyDescent="0.45">
      <c r="B49" s="153"/>
      <c r="C49" s="153"/>
      <c r="D49" s="256" t="s">
        <v>119</v>
      </c>
      <c r="E49" s="256"/>
      <c r="F49" s="148">
        <f>F48-F47</f>
        <v>11523.113105548466</v>
      </c>
      <c r="H49" s="153"/>
      <c r="I49" s="153"/>
      <c r="J49" s="256" t="s">
        <v>119</v>
      </c>
      <c r="K49" s="256"/>
      <c r="L49" s="148">
        <f>L48-L47</f>
        <v>10974.024912225443</v>
      </c>
      <c r="T49" s="153"/>
      <c r="U49" s="153"/>
      <c r="V49" s="256" t="s">
        <v>119</v>
      </c>
      <c r="W49" s="256"/>
      <c r="X49" s="148">
        <f>X48-X47</f>
        <v>16817.486484979669</v>
      </c>
      <c r="Z49" s="153"/>
      <c r="AA49" s="153"/>
      <c r="AB49" s="256" t="s">
        <v>119</v>
      </c>
      <c r="AC49" s="256"/>
      <c r="AD49" s="148">
        <f>AD48-AD47</f>
        <v>16268.398291656649</v>
      </c>
    </row>
    <row r="52" spans="2:36" ht="15.4" x14ac:dyDescent="0.45">
      <c r="B52" s="259" t="s">
        <v>306</v>
      </c>
      <c r="C52" s="259"/>
      <c r="D52" s="259"/>
      <c r="E52" s="259"/>
      <c r="F52" s="259"/>
      <c r="G52" s="259"/>
      <c r="H52" s="259"/>
      <c r="I52" s="259"/>
      <c r="J52" s="259"/>
      <c r="K52" s="259"/>
      <c r="L52" s="259"/>
      <c r="M52" s="259"/>
      <c r="N52" s="259"/>
      <c r="O52" s="259"/>
      <c r="P52" s="259"/>
      <c r="Q52" s="259"/>
      <c r="R52" s="259"/>
      <c r="T52" s="259" t="s">
        <v>308</v>
      </c>
      <c r="U52" s="259"/>
      <c r="V52" s="259"/>
      <c r="W52" s="259"/>
      <c r="X52" s="259"/>
      <c r="Y52" s="259"/>
      <c r="Z52" s="259"/>
      <c r="AA52" s="259"/>
      <c r="AB52" s="259"/>
      <c r="AC52" s="259"/>
      <c r="AD52" s="259"/>
      <c r="AE52" s="259"/>
      <c r="AF52" s="259"/>
      <c r="AG52" s="259"/>
      <c r="AH52" s="259"/>
      <c r="AI52" s="259"/>
      <c r="AJ52" s="259"/>
    </row>
    <row r="53" spans="2:36" ht="14.65" thickBot="1" x14ac:dyDescent="0.5">
      <c r="B53" s="2" t="s">
        <v>253</v>
      </c>
      <c r="H53" s="2" t="s">
        <v>259</v>
      </c>
      <c r="N53" s="2" t="s">
        <v>263</v>
      </c>
      <c r="T53" s="2" t="s">
        <v>253</v>
      </c>
      <c r="Z53" s="2" t="s">
        <v>259</v>
      </c>
      <c r="AF53" s="2" t="s">
        <v>263</v>
      </c>
    </row>
    <row r="54" spans="2:36" x14ac:dyDescent="0.45">
      <c r="B54" s="119" t="s">
        <v>0</v>
      </c>
      <c r="C54" s="119" t="s">
        <v>49</v>
      </c>
      <c r="D54" s="119" t="s">
        <v>34</v>
      </c>
      <c r="E54" s="119" t="s">
        <v>50</v>
      </c>
      <c r="F54" s="119" t="s">
        <v>36</v>
      </c>
      <c r="H54" s="119" t="s">
        <v>0</v>
      </c>
      <c r="I54" s="119" t="s">
        <v>49</v>
      </c>
      <c r="J54" s="119" t="s">
        <v>34</v>
      </c>
      <c r="K54" s="119" t="s">
        <v>50</v>
      </c>
      <c r="L54" s="119" t="s">
        <v>36</v>
      </c>
      <c r="N54" s="119" t="s">
        <v>0</v>
      </c>
      <c r="O54" s="119" t="s">
        <v>49</v>
      </c>
      <c r="P54" s="119" t="s">
        <v>34</v>
      </c>
      <c r="Q54" s="119" t="s">
        <v>50</v>
      </c>
      <c r="R54" s="119" t="s">
        <v>36</v>
      </c>
      <c r="T54" s="119" t="s">
        <v>0</v>
      </c>
      <c r="U54" s="119" t="s">
        <v>49</v>
      </c>
      <c r="V54" s="119" t="s">
        <v>34</v>
      </c>
      <c r="W54" s="119" t="s">
        <v>50</v>
      </c>
      <c r="X54" s="119" t="s">
        <v>36</v>
      </c>
      <c r="Z54" s="119" t="s">
        <v>0</v>
      </c>
      <c r="AA54" s="119" t="s">
        <v>49</v>
      </c>
      <c r="AB54" s="119" t="s">
        <v>34</v>
      </c>
      <c r="AC54" s="119" t="s">
        <v>50</v>
      </c>
      <c r="AD54" s="119" t="s">
        <v>36</v>
      </c>
      <c r="AF54" s="119" t="s">
        <v>0</v>
      </c>
      <c r="AG54" s="119" t="s">
        <v>49</v>
      </c>
      <c r="AH54" s="119" t="s">
        <v>34</v>
      </c>
      <c r="AI54" s="119" t="s">
        <v>50</v>
      </c>
      <c r="AJ54" s="119" t="s">
        <v>36</v>
      </c>
    </row>
    <row r="55" spans="2:36" x14ac:dyDescent="0.45">
      <c r="B55" s="141">
        <v>1</v>
      </c>
      <c r="C55" s="142" t="s">
        <v>112</v>
      </c>
      <c r="D55" s="141">
        <v>1</v>
      </c>
      <c r="E55" s="141" t="s">
        <v>6</v>
      </c>
      <c r="F55" s="143">
        <f>D55*'Daftar HPP'!$L$57</f>
        <v>4875.7315789473687</v>
      </c>
      <c r="H55" s="141">
        <v>1</v>
      </c>
      <c r="I55" s="142" t="s">
        <v>112</v>
      </c>
      <c r="J55" s="141">
        <v>1</v>
      </c>
      <c r="K55" s="141" t="s">
        <v>6</v>
      </c>
      <c r="L55" s="143">
        <f>J55*'Daftar HPP'!$L$57</f>
        <v>4875.7315789473687</v>
      </c>
      <c r="N55" s="141">
        <v>1</v>
      </c>
      <c r="O55" s="142" t="s">
        <v>112</v>
      </c>
      <c r="P55" s="141">
        <v>1</v>
      </c>
      <c r="Q55" s="141" t="s">
        <v>6</v>
      </c>
      <c r="R55" s="143">
        <f>P55*'Daftar HPP'!$L$57</f>
        <v>4875.7315789473687</v>
      </c>
      <c r="T55" s="141">
        <v>1</v>
      </c>
      <c r="U55" s="142" t="s">
        <v>112</v>
      </c>
      <c r="V55" s="141">
        <v>2</v>
      </c>
      <c r="W55" s="141" t="s">
        <v>6</v>
      </c>
      <c r="X55" s="143">
        <f>V55*'Daftar HPP'!$L$57</f>
        <v>9751.4631578947374</v>
      </c>
      <c r="Z55" s="141">
        <v>1</v>
      </c>
      <c r="AA55" s="142" t="s">
        <v>112</v>
      </c>
      <c r="AB55" s="141">
        <v>2</v>
      </c>
      <c r="AC55" s="141" t="s">
        <v>6</v>
      </c>
      <c r="AD55" s="143">
        <f>AB55*'Daftar HPP'!$L$57</f>
        <v>9751.4631578947374</v>
      </c>
      <c r="AF55" s="141">
        <v>1</v>
      </c>
      <c r="AG55" s="142" t="s">
        <v>112</v>
      </c>
      <c r="AH55" s="141">
        <v>2</v>
      </c>
      <c r="AI55" s="141" t="s">
        <v>6</v>
      </c>
      <c r="AJ55" s="143">
        <f>AH55*'Daftar HPP'!$L$57</f>
        <v>9751.4631578947374</v>
      </c>
    </row>
    <row r="56" spans="2:36" x14ac:dyDescent="0.45">
      <c r="B56" s="141">
        <v>2</v>
      </c>
      <c r="C56" s="142" t="s">
        <v>20</v>
      </c>
      <c r="D56" s="141">
        <v>40</v>
      </c>
      <c r="E56" s="141" t="s">
        <v>8</v>
      </c>
      <c r="F56" s="143">
        <f>D56*'Daftar HPP'!$F$114</f>
        <v>1874.0829346092503</v>
      </c>
      <c r="H56" s="141">
        <v>2</v>
      </c>
      <c r="I56" s="142" t="s">
        <v>20</v>
      </c>
      <c r="J56" s="141">
        <v>40</v>
      </c>
      <c r="K56" s="141" t="s">
        <v>8</v>
      </c>
      <c r="L56" s="143">
        <f>J56*'Daftar HPP'!$F$114</f>
        <v>1874.0829346092503</v>
      </c>
      <c r="N56" s="141">
        <v>2</v>
      </c>
      <c r="O56" s="142" t="s">
        <v>20</v>
      </c>
      <c r="P56" s="141">
        <v>40</v>
      </c>
      <c r="Q56" s="141" t="s">
        <v>8</v>
      </c>
      <c r="R56" s="143">
        <f>P56*'Daftar HPP'!$F$114</f>
        <v>1874.0829346092503</v>
      </c>
      <c r="T56" s="141">
        <v>2</v>
      </c>
      <c r="U56" s="142" t="s">
        <v>20</v>
      </c>
      <c r="V56" s="141">
        <v>80</v>
      </c>
      <c r="W56" s="141" t="s">
        <v>8</v>
      </c>
      <c r="X56" s="143">
        <f>V56*'Daftar HPP'!$F$114</f>
        <v>3748.1658692185006</v>
      </c>
      <c r="Z56" s="141">
        <v>2</v>
      </c>
      <c r="AA56" s="142" t="s">
        <v>20</v>
      </c>
      <c r="AB56" s="141">
        <v>80</v>
      </c>
      <c r="AC56" s="141" t="s">
        <v>8</v>
      </c>
      <c r="AD56" s="143">
        <f>AB56*'Daftar HPP'!$F$114</f>
        <v>3748.1658692185006</v>
      </c>
      <c r="AF56" s="141">
        <v>2</v>
      </c>
      <c r="AG56" s="142" t="s">
        <v>20</v>
      </c>
      <c r="AH56" s="141">
        <v>80</v>
      </c>
      <c r="AI56" s="141" t="s">
        <v>8</v>
      </c>
      <c r="AJ56" s="143">
        <f>AH56*'Daftar HPP'!$F$114</f>
        <v>3748.1658692185006</v>
      </c>
    </row>
    <row r="57" spans="2:36" x14ac:dyDescent="0.45">
      <c r="B57" s="141">
        <v>3</v>
      </c>
      <c r="C57" s="142" t="s">
        <v>254</v>
      </c>
      <c r="D57" s="141">
        <v>1</v>
      </c>
      <c r="E57" s="141" t="s">
        <v>118</v>
      </c>
      <c r="F57" s="143">
        <f>D57*'Daftar HPP'!$F$105</f>
        <v>7659.7900832428531</v>
      </c>
      <c r="H57" s="141">
        <v>3</v>
      </c>
      <c r="I57" s="142" t="s">
        <v>254</v>
      </c>
      <c r="J57" s="141">
        <v>1</v>
      </c>
      <c r="K57" s="141" t="s">
        <v>118</v>
      </c>
      <c r="L57" s="143">
        <f>J57*'Daftar HPP'!$F$105</f>
        <v>7659.7900832428531</v>
      </c>
      <c r="N57" s="141">
        <v>3</v>
      </c>
      <c r="O57" s="142" t="s">
        <v>254</v>
      </c>
      <c r="P57" s="141">
        <v>1</v>
      </c>
      <c r="Q57" s="141" t="s">
        <v>118</v>
      </c>
      <c r="R57" s="143">
        <f>P57*'Daftar HPP'!$F$105</f>
        <v>7659.7900832428531</v>
      </c>
      <c r="T57" s="141">
        <v>3</v>
      </c>
      <c r="U57" s="142" t="s">
        <v>269</v>
      </c>
      <c r="V57" s="141">
        <v>1</v>
      </c>
      <c r="W57" s="141" t="s">
        <v>118</v>
      </c>
      <c r="X57" s="143">
        <f>V57*'Daftar HPP'!$L$96</f>
        <v>11489.68512486428</v>
      </c>
      <c r="Z57" s="141">
        <v>3</v>
      </c>
      <c r="AA57" s="142" t="s">
        <v>269</v>
      </c>
      <c r="AB57" s="141">
        <v>1</v>
      </c>
      <c r="AC57" s="141" t="s">
        <v>118</v>
      </c>
      <c r="AD57" s="143">
        <f>AB57*'Daftar HPP'!$L$96</f>
        <v>11489.68512486428</v>
      </c>
      <c r="AF57" s="141">
        <v>3</v>
      </c>
      <c r="AG57" s="142" t="s">
        <v>269</v>
      </c>
      <c r="AH57" s="141">
        <v>1</v>
      </c>
      <c r="AI57" s="141" t="s">
        <v>118</v>
      </c>
      <c r="AJ57" s="143">
        <f>AH57*'Daftar HPP'!$L$96</f>
        <v>11489.68512486428</v>
      </c>
    </row>
    <row r="58" spans="2:36" x14ac:dyDescent="0.45">
      <c r="B58" s="141">
        <v>4</v>
      </c>
      <c r="C58" s="142" t="s">
        <v>17</v>
      </c>
      <c r="D58" s="141">
        <v>30</v>
      </c>
      <c r="E58" s="141" t="s">
        <v>8</v>
      </c>
      <c r="F58" s="144">
        <f>D58*'Daftar HPP'!$F$152</f>
        <v>2093.9588100686497</v>
      </c>
      <c r="H58" s="141">
        <v>4</v>
      </c>
      <c r="I58" s="142" t="s">
        <v>25</v>
      </c>
      <c r="J58" s="141">
        <v>30</v>
      </c>
      <c r="K58" s="141" t="s">
        <v>8</v>
      </c>
      <c r="L58" s="144">
        <f>J58*'Daftar HPP'!$G$22</f>
        <v>1995</v>
      </c>
      <c r="N58" s="141">
        <v>4</v>
      </c>
      <c r="O58" s="142" t="s">
        <v>107</v>
      </c>
      <c r="P58" s="141">
        <v>30</v>
      </c>
      <c r="Q58" s="141" t="s">
        <v>8</v>
      </c>
      <c r="R58" s="144">
        <f>P58*'Daftar HPP'!$L$152</f>
        <v>2144.1036802532649</v>
      </c>
      <c r="T58" s="141">
        <v>4</v>
      </c>
      <c r="U58" s="142" t="s">
        <v>17</v>
      </c>
      <c r="V58" s="141">
        <v>30</v>
      </c>
      <c r="W58" s="141" t="s">
        <v>8</v>
      </c>
      <c r="X58" s="144">
        <f>V58*'Daftar HPP'!$F$152</f>
        <v>2093.9588100686497</v>
      </c>
      <c r="Z58" s="141">
        <v>4</v>
      </c>
      <c r="AA58" s="142" t="s">
        <v>25</v>
      </c>
      <c r="AB58" s="141">
        <v>30</v>
      </c>
      <c r="AC58" s="141" t="s">
        <v>8</v>
      </c>
      <c r="AD58" s="144">
        <f>AB58*'Daftar HPP'!$G$22</f>
        <v>1995</v>
      </c>
      <c r="AF58" s="141">
        <v>4</v>
      </c>
      <c r="AG58" s="142" t="s">
        <v>107</v>
      </c>
      <c r="AH58" s="141">
        <v>30</v>
      </c>
      <c r="AI58" s="141" t="s">
        <v>8</v>
      </c>
      <c r="AJ58" s="144">
        <f>AH58*'Daftar HPP'!$L$152</f>
        <v>2144.1036802532649</v>
      </c>
    </row>
    <row r="59" spans="2:36" x14ac:dyDescent="0.45">
      <c r="B59" s="141">
        <v>5</v>
      </c>
      <c r="C59" s="142" t="s">
        <v>25</v>
      </c>
      <c r="D59" s="141">
        <v>30</v>
      </c>
      <c r="E59" s="141" t="s">
        <v>8</v>
      </c>
      <c r="F59" s="144">
        <f>D59*'Daftar HPP'!$G$22</f>
        <v>1995</v>
      </c>
      <c r="H59" s="141">
        <v>5</v>
      </c>
      <c r="I59" s="142" t="s">
        <v>105</v>
      </c>
      <c r="J59" s="141">
        <v>30</v>
      </c>
      <c r="K59" s="141" t="s">
        <v>8</v>
      </c>
      <c r="L59" s="144">
        <f>J59*'Daftar HPP'!$F$143</f>
        <v>2146.3497453310692</v>
      </c>
      <c r="N59" s="141">
        <v>5</v>
      </c>
      <c r="O59" s="142" t="s">
        <v>26</v>
      </c>
      <c r="P59" s="141">
        <v>30</v>
      </c>
      <c r="Q59" s="141" t="s">
        <v>8</v>
      </c>
      <c r="R59" s="144">
        <f>P59*'Daftar HPP'!$L$143</f>
        <v>1647.4064221926658</v>
      </c>
      <c r="T59" s="141">
        <v>5</v>
      </c>
      <c r="U59" s="142" t="s">
        <v>25</v>
      </c>
      <c r="V59" s="141">
        <v>30</v>
      </c>
      <c r="W59" s="141" t="s">
        <v>8</v>
      </c>
      <c r="X59" s="144">
        <f>V59*'Daftar HPP'!$G$22</f>
        <v>1995</v>
      </c>
      <c r="Z59" s="141">
        <v>5</v>
      </c>
      <c r="AA59" s="142" t="s">
        <v>105</v>
      </c>
      <c r="AB59" s="141">
        <v>30</v>
      </c>
      <c r="AC59" s="141" t="s">
        <v>8</v>
      </c>
      <c r="AD59" s="144">
        <f>AB59*'Daftar HPP'!$F$143</f>
        <v>2146.3497453310692</v>
      </c>
      <c r="AF59" s="141">
        <v>5</v>
      </c>
      <c r="AG59" s="142" t="s">
        <v>26</v>
      </c>
      <c r="AH59" s="141">
        <v>30</v>
      </c>
      <c r="AI59" s="141" t="s">
        <v>8</v>
      </c>
      <c r="AJ59" s="144">
        <f>AH59*'Daftar HPP'!$L$143</f>
        <v>1647.4064221926658</v>
      </c>
    </row>
    <row r="60" spans="2:36" x14ac:dyDescent="0.45">
      <c r="B60" s="141">
        <v>6</v>
      </c>
      <c r="C60" s="142" t="s">
        <v>270</v>
      </c>
      <c r="D60" s="141">
        <v>1</v>
      </c>
      <c r="E60" s="141" t="s">
        <v>8</v>
      </c>
      <c r="F60" s="144">
        <f>D60*'Daftar HPP'!$G$33</f>
        <v>100</v>
      </c>
      <c r="H60" s="141">
        <v>6</v>
      </c>
      <c r="I60" s="142" t="s">
        <v>270</v>
      </c>
      <c r="J60" s="141">
        <v>1</v>
      </c>
      <c r="K60" s="141" t="s">
        <v>8</v>
      </c>
      <c r="L60" s="144">
        <f>J60*'Daftar HPP'!$G$33</f>
        <v>100</v>
      </c>
      <c r="N60" s="141">
        <v>6</v>
      </c>
      <c r="O60" s="142" t="s">
        <v>270</v>
      </c>
      <c r="P60" s="141">
        <v>1</v>
      </c>
      <c r="Q60" s="141" t="s">
        <v>8</v>
      </c>
      <c r="R60" s="144">
        <f>P60*'Daftar HPP'!$G$33</f>
        <v>100</v>
      </c>
      <c r="T60" s="141">
        <v>6</v>
      </c>
      <c r="U60" s="142" t="s">
        <v>270</v>
      </c>
      <c r="V60" s="141">
        <v>1</v>
      </c>
      <c r="W60" s="141" t="s">
        <v>8</v>
      </c>
      <c r="X60" s="144">
        <f>V60*'Daftar HPP'!$G$33</f>
        <v>100</v>
      </c>
      <c r="Z60" s="141">
        <v>6</v>
      </c>
      <c r="AA60" s="142" t="s">
        <v>270</v>
      </c>
      <c r="AB60" s="141">
        <v>1</v>
      </c>
      <c r="AC60" s="141" t="s">
        <v>8</v>
      </c>
      <c r="AD60" s="144">
        <f>AB60*'Daftar HPP'!$G$33</f>
        <v>100</v>
      </c>
      <c r="AF60" s="141">
        <v>6</v>
      </c>
      <c r="AG60" s="142" t="s">
        <v>270</v>
      </c>
      <c r="AH60" s="141">
        <v>1</v>
      </c>
      <c r="AI60" s="141" t="s">
        <v>8</v>
      </c>
      <c r="AJ60" s="144">
        <f>AH60*'Daftar HPP'!$G$33</f>
        <v>100</v>
      </c>
    </row>
    <row r="61" spans="2:36" x14ac:dyDescent="0.45">
      <c r="B61" s="141">
        <v>7</v>
      </c>
      <c r="C61" s="142" t="s">
        <v>251</v>
      </c>
      <c r="D61" s="141">
        <v>1</v>
      </c>
      <c r="E61" s="141" t="s">
        <v>28</v>
      </c>
      <c r="F61" s="144">
        <f>D61*'Daftar HPP'!$G$39</f>
        <v>1100</v>
      </c>
      <c r="H61" s="141">
        <v>7</v>
      </c>
      <c r="I61" s="142" t="s">
        <v>251</v>
      </c>
      <c r="J61" s="141">
        <v>1</v>
      </c>
      <c r="K61" s="141" t="s">
        <v>28</v>
      </c>
      <c r="L61" s="144">
        <f>J61*'Daftar HPP'!$G$39</f>
        <v>1100</v>
      </c>
      <c r="N61" s="141">
        <v>7</v>
      </c>
      <c r="O61" s="142" t="s">
        <v>251</v>
      </c>
      <c r="P61" s="141">
        <v>1</v>
      </c>
      <c r="Q61" s="141" t="s">
        <v>28</v>
      </c>
      <c r="R61" s="144">
        <f>P61*'Daftar HPP'!$G$39</f>
        <v>1100</v>
      </c>
      <c r="T61" s="141">
        <v>7</v>
      </c>
      <c r="U61" s="142" t="s">
        <v>251</v>
      </c>
      <c r="V61" s="141">
        <v>1</v>
      </c>
      <c r="W61" s="141" t="s">
        <v>28</v>
      </c>
      <c r="X61" s="144">
        <f>V61*'Daftar HPP'!$G$39</f>
        <v>1100</v>
      </c>
      <c r="Z61" s="141">
        <v>7</v>
      </c>
      <c r="AA61" s="142" t="s">
        <v>251</v>
      </c>
      <c r="AB61" s="141">
        <v>1</v>
      </c>
      <c r="AC61" s="141" t="s">
        <v>28</v>
      </c>
      <c r="AD61" s="144">
        <f>AB61*'Daftar HPP'!$G$39</f>
        <v>1100</v>
      </c>
      <c r="AF61" s="141">
        <v>7</v>
      </c>
      <c r="AG61" s="142" t="s">
        <v>251</v>
      </c>
      <c r="AH61" s="141">
        <v>1</v>
      </c>
      <c r="AI61" s="141" t="s">
        <v>28</v>
      </c>
      <c r="AJ61" s="144">
        <f>AH61*'Daftar HPP'!$G$39</f>
        <v>1100</v>
      </c>
    </row>
    <row r="62" spans="2:36" x14ac:dyDescent="0.45">
      <c r="B62" s="153"/>
      <c r="C62" s="150"/>
      <c r="D62" s="261" t="s">
        <v>53</v>
      </c>
      <c r="E62" s="261"/>
      <c r="F62" s="190">
        <f>SUM(F55:F61)</f>
        <v>19698.563406868121</v>
      </c>
      <c r="H62" s="153"/>
      <c r="I62" s="150"/>
      <c r="J62" s="261" t="s">
        <v>53</v>
      </c>
      <c r="K62" s="261"/>
      <c r="L62" s="190">
        <f>SUM(L55:L61)</f>
        <v>19750.954342130542</v>
      </c>
      <c r="N62" s="153"/>
      <c r="O62" s="150"/>
      <c r="P62" s="261" t="s">
        <v>53</v>
      </c>
      <c r="Q62" s="261"/>
      <c r="R62" s="190">
        <f>SUM(R55:R61)</f>
        <v>19401.114699245405</v>
      </c>
      <c r="T62" s="153"/>
      <c r="U62" s="150"/>
      <c r="V62" s="261" t="s">
        <v>53</v>
      </c>
      <c r="W62" s="261"/>
      <c r="X62" s="190">
        <f>SUM(X55:X61)</f>
        <v>30278.272962046165</v>
      </c>
      <c r="Z62" s="153"/>
      <c r="AA62" s="150"/>
      <c r="AB62" s="261" t="s">
        <v>53</v>
      </c>
      <c r="AC62" s="261"/>
      <c r="AD62" s="190">
        <f>SUM(AD55:AD61)</f>
        <v>30330.663897308586</v>
      </c>
      <c r="AF62" s="153"/>
      <c r="AG62" s="150"/>
      <c r="AH62" s="261" t="s">
        <v>53</v>
      </c>
      <c r="AI62" s="261"/>
      <c r="AJ62" s="190">
        <f>SUM(AJ55:AJ61)</f>
        <v>29980.824254423449</v>
      </c>
    </row>
    <row r="63" spans="2:36" x14ac:dyDescent="0.45">
      <c r="B63" s="153"/>
      <c r="C63" s="153"/>
      <c r="D63" s="256" t="s">
        <v>116</v>
      </c>
      <c r="E63" s="256"/>
      <c r="F63" s="147">
        <v>32000</v>
      </c>
      <c r="H63" s="153"/>
      <c r="I63" s="153"/>
      <c r="J63" s="256" t="s">
        <v>116</v>
      </c>
      <c r="K63" s="256"/>
      <c r="L63" s="147">
        <v>32000</v>
      </c>
      <c r="N63" s="153"/>
      <c r="O63" s="153"/>
      <c r="P63" s="256" t="s">
        <v>116</v>
      </c>
      <c r="Q63" s="256"/>
      <c r="R63" s="147">
        <v>32000</v>
      </c>
      <c r="T63" s="153"/>
      <c r="U63" s="153"/>
      <c r="V63" s="256" t="s">
        <v>116</v>
      </c>
      <c r="W63" s="256"/>
      <c r="X63" s="147">
        <v>49000</v>
      </c>
      <c r="Z63" s="153"/>
      <c r="AA63" s="153"/>
      <c r="AB63" s="256" t="s">
        <v>116</v>
      </c>
      <c r="AC63" s="256"/>
      <c r="AD63" s="147">
        <v>49000</v>
      </c>
      <c r="AF63" s="153"/>
      <c r="AG63" s="153"/>
      <c r="AH63" s="256" t="s">
        <v>116</v>
      </c>
      <c r="AI63" s="256"/>
      <c r="AJ63" s="147">
        <v>49000</v>
      </c>
    </row>
    <row r="64" spans="2:36" x14ac:dyDescent="0.45">
      <c r="B64" s="153"/>
      <c r="C64" s="153"/>
      <c r="D64" s="256" t="s">
        <v>119</v>
      </c>
      <c r="E64" s="256"/>
      <c r="F64" s="148">
        <f>F63-F62</f>
        <v>12301.436593131879</v>
      </c>
      <c r="H64" s="153"/>
      <c r="I64" s="153"/>
      <c r="J64" s="256" t="s">
        <v>119</v>
      </c>
      <c r="K64" s="256"/>
      <c r="L64" s="148">
        <f>L63-L62</f>
        <v>12249.045657869458</v>
      </c>
      <c r="N64" s="153"/>
      <c r="O64" s="153"/>
      <c r="P64" s="256" t="s">
        <v>119</v>
      </c>
      <c r="Q64" s="256"/>
      <c r="R64" s="148">
        <f>R63-R62</f>
        <v>12598.885300754595</v>
      </c>
      <c r="T64" s="153"/>
      <c r="U64" s="153"/>
      <c r="V64" s="256" t="s">
        <v>119</v>
      </c>
      <c r="W64" s="256"/>
      <c r="X64" s="148">
        <f>X63-X62</f>
        <v>18721.727037953835</v>
      </c>
      <c r="Z64" s="153"/>
      <c r="AA64" s="153"/>
      <c r="AB64" s="256" t="s">
        <v>119</v>
      </c>
      <c r="AC64" s="256"/>
      <c r="AD64" s="148">
        <f>AD63-AD62</f>
        <v>18669.336102691414</v>
      </c>
      <c r="AF64" s="153"/>
      <c r="AG64" s="153"/>
      <c r="AH64" s="256" t="s">
        <v>119</v>
      </c>
      <c r="AI64" s="256"/>
      <c r="AJ64" s="148">
        <f>AJ63-AJ62</f>
        <v>19019.175745576551</v>
      </c>
    </row>
    <row r="66" spans="2:36" ht="14.65" thickBot="1" x14ac:dyDescent="0.5">
      <c r="B66" s="2" t="s">
        <v>256</v>
      </c>
      <c r="H66" s="2" t="s">
        <v>260</v>
      </c>
      <c r="N66" s="2" t="s">
        <v>307</v>
      </c>
      <c r="T66" s="2" t="s">
        <v>256</v>
      </c>
      <c r="Z66" s="2" t="s">
        <v>260</v>
      </c>
      <c r="AF66" s="2" t="s">
        <v>307</v>
      </c>
    </row>
    <row r="67" spans="2:36" x14ac:dyDescent="0.45">
      <c r="B67" s="119" t="s">
        <v>0</v>
      </c>
      <c r="C67" s="119" t="s">
        <v>49</v>
      </c>
      <c r="D67" s="119" t="s">
        <v>34</v>
      </c>
      <c r="E67" s="119" t="s">
        <v>50</v>
      </c>
      <c r="F67" s="119" t="s">
        <v>36</v>
      </c>
      <c r="H67" s="119" t="s">
        <v>0</v>
      </c>
      <c r="I67" s="119" t="s">
        <v>49</v>
      </c>
      <c r="J67" s="119" t="s">
        <v>34</v>
      </c>
      <c r="K67" s="119" t="s">
        <v>50</v>
      </c>
      <c r="L67" s="119" t="s">
        <v>36</v>
      </c>
      <c r="N67" s="119" t="s">
        <v>0</v>
      </c>
      <c r="O67" s="119" t="s">
        <v>49</v>
      </c>
      <c r="P67" s="119" t="s">
        <v>34</v>
      </c>
      <c r="Q67" s="119" t="s">
        <v>50</v>
      </c>
      <c r="R67" s="119" t="s">
        <v>36</v>
      </c>
      <c r="T67" s="119" t="s">
        <v>0</v>
      </c>
      <c r="U67" s="119" t="s">
        <v>49</v>
      </c>
      <c r="V67" s="119" t="s">
        <v>34</v>
      </c>
      <c r="W67" s="119" t="s">
        <v>50</v>
      </c>
      <c r="X67" s="119" t="s">
        <v>36</v>
      </c>
      <c r="Z67" s="119" t="s">
        <v>0</v>
      </c>
      <c r="AA67" s="119" t="s">
        <v>49</v>
      </c>
      <c r="AB67" s="119" t="s">
        <v>34</v>
      </c>
      <c r="AC67" s="119" t="s">
        <v>50</v>
      </c>
      <c r="AD67" s="119" t="s">
        <v>36</v>
      </c>
      <c r="AF67" s="119" t="s">
        <v>0</v>
      </c>
      <c r="AG67" s="119" t="s">
        <v>49</v>
      </c>
      <c r="AH67" s="119" t="s">
        <v>34</v>
      </c>
      <c r="AI67" s="119" t="s">
        <v>50</v>
      </c>
      <c r="AJ67" s="119" t="s">
        <v>36</v>
      </c>
    </row>
    <row r="68" spans="2:36" x14ac:dyDescent="0.45">
      <c r="B68" s="141">
        <v>1</v>
      </c>
      <c r="C68" s="142" t="s">
        <v>112</v>
      </c>
      <c r="D68" s="141">
        <v>1</v>
      </c>
      <c r="E68" s="141" t="s">
        <v>6</v>
      </c>
      <c r="F68" s="143">
        <f>D68*'Daftar HPP'!$L$57</f>
        <v>4875.7315789473687</v>
      </c>
      <c r="H68" s="141">
        <v>1</v>
      </c>
      <c r="I68" s="142" t="s">
        <v>112</v>
      </c>
      <c r="J68" s="141">
        <v>1</v>
      </c>
      <c r="K68" s="141" t="s">
        <v>6</v>
      </c>
      <c r="L68" s="143">
        <f>J68*'Daftar HPP'!$L$57</f>
        <v>4875.7315789473687</v>
      </c>
      <c r="N68" s="141">
        <v>1</v>
      </c>
      <c r="O68" s="142" t="s">
        <v>112</v>
      </c>
      <c r="P68" s="141">
        <v>1</v>
      </c>
      <c r="Q68" s="141" t="s">
        <v>6</v>
      </c>
      <c r="R68" s="143">
        <f>P68*'Daftar HPP'!$L$57</f>
        <v>4875.7315789473687</v>
      </c>
      <c r="T68" s="141">
        <v>1</v>
      </c>
      <c r="U68" s="142" t="s">
        <v>112</v>
      </c>
      <c r="V68" s="141">
        <v>2</v>
      </c>
      <c r="W68" s="141" t="s">
        <v>6</v>
      </c>
      <c r="X68" s="143">
        <f>V68*'Daftar HPP'!$L$57</f>
        <v>9751.4631578947374</v>
      </c>
      <c r="Z68" s="141">
        <v>1</v>
      </c>
      <c r="AA68" s="142" t="s">
        <v>112</v>
      </c>
      <c r="AB68" s="141">
        <v>2</v>
      </c>
      <c r="AC68" s="141" t="s">
        <v>6</v>
      </c>
      <c r="AD68" s="143">
        <f>AB68*'Daftar HPP'!$L$57</f>
        <v>9751.4631578947374</v>
      </c>
      <c r="AF68" s="141">
        <v>1</v>
      </c>
      <c r="AG68" s="142" t="s">
        <v>112</v>
      </c>
      <c r="AH68" s="141">
        <v>2</v>
      </c>
      <c r="AI68" s="141" t="s">
        <v>6</v>
      </c>
      <c r="AJ68" s="143">
        <f>AH68*'Daftar HPP'!$L$57</f>
        <v>9751.4631578947374</v>
      </c>
    </row>
    <row r="69" spans="2:36" x14ac:dyDescent="0.45">
      <c r="B69" s="141">
        <v>2</v>
      </c>
      <c r="C69" s="142" t="s">
        <v>20</v>
      </c>
      <c r="D69" s="141">
        <v>40</v>
      </c>
      <c r="E69" s="141" t="s">
        <v>8</v>
      </c>
      <c r="F69" s="143">
        <f>D69*'Daftar HPP'!$F$114</f>
        <v>1874.0829346092503</v>
      </c>
      <c r="H69" s="141">
        <v>2</v>
      </c>
      <c r="I69" s="142" t="s">
        <v>20</v>
      </c>
      <c r="J69" s="141">
        <v>40</v>
      </c>
      <c r="K69" s="141" t="s">
        <v>8</v>
      </c>
      <c r="L69" s="143">
        <f>J69*'Daftar HPP'!$F$114</f>
        <v>1874.0829346092503</v>
      </c>
      <c r="N69" s="141">
        <v>2</v>
      </c>
      <c r="O69" s="142" t="s">
        <v>20</v>
      </c>
      <c r="P69" s="141">
        <v>40</v>
      </c>
      <c r="Q69" s="141" t="s">
        <v>8</v>
      </c>
      <c r="R69" s="143">
        <f>P69*'Daftar HPP'!$F$114</f>
        <v>1874.0829346092503</v>
      </c>
      <c r="T69" s="141">
        <v>2</v>
      </c>
      <c r="U69" s="142" t="s">
        <v>20</v>
      </c>
      <c r="V69" s="141">
        <v>80</v>
      </c>
      <c r="W69" s="141" t="s">
        <v>8</v>
      </c>
      <c r="X69" s="143">
        <f>V69*'Daftar HPP'!$F$114</f>
        <v>3748.1658692185006</v>
      </c>
      <c r="Z69" s="141">
        <v>2</v>
      </c>
      <c r="AA69" s="142" t="s">
        <v>20</v>
      </c>
      <c r="AB69" s="141">
        <v>80</v>
      </c>
      <c r="AC69" s="141" t="s">
        <v>8</v>
      </c>
      <c r="AD69" s="143">
        <f>AB69*'Daftar HPP'!$F$114</f>
        <v>3748.1658692185006</v>
      </c>
      <c r="AF69" s="141">
        <v>2</v>
      </c>
      <c r="AG69" s="142" t="s">
        <v>20</v>
      </c>
      <c r="AH69" s="141">
        <v>80</v>
      </c>
      <c r="AI69" s="141" t="s">
        <v>8</v>
      </c>
      <c r="AJ69" s="143">
        <f>AH69*'Daftar HPP'!$F$114</f>
        <v>3748.1658692185006</v>
      </c>
    </row>
    <row r="70" spans="2:36" x14ac:dyDescent="0.45">
      <c r="B70" s="141">
        <v>3</v>
      </c>
      <c r="C70" s="142" t="s">
        <v>254</v>
      </c>
      <c r="D70" s="141">
        <v>1</v>
      </c>
      <c r="E70" s="141" t="s">
        <v>118</v>
      </c>
      <c r="F70" s="143">
        <f>D70*'Daftar HPP'!$F$105</f>
        <v>7659.7900832428531</v>
      </c>
      <c r="H70" s="141">
        <v>3</v>
      </c>
      <c r="I70" s="142" t="s">
        <v>254</v>
      </c>
      <c r="J70" s="141">
        <v>1</v>
      </c>
      <c r="K70" s="141" t="s">
        <v>118</v>
      </c>
      <c r="L70" s="143">
        <f>J70*'Daftar HPP'!$F$105</f>
        <v>7659.7900832428531</v>
      </c>
      <c r="N70" s="141">
        <v>3</v>
      </c>
      <c r="O70" s="142" t="s">
        <v>254</v>
      </c>
      <c r="P70" s="141">
        <v>1</v>
      </c>
      <c r="Q70" s="141" t="s">
        <v>118</v>
      </c>
      <c r="R70" s="143">
        <f>P70*'Daftar HPP'!$F$105</f>
        <v>7659.7900832428531</v>
      </c>
      <c r="T70" s="141">
        <v>3</v>
      </c>
      <c r="U70" s="142" t="s">
        <v>269</v>
      </c>
      <c r="V70" s="141">
        <v>1</v>
      </c>
      <c r="W70" s="141" t="s">
        <v>118</v>
      </c>
      <c r="X70" s="143">
        <f>V70*'Daftar HPP'!$L$96</f>
        <v>11489.68512486428</v>
      </c>
      <c r="Z70" s="141">
        <v>3</v>
      </c>
      <c r="AA70" s="142" t="s">
        <v>269</v>
      </c>
      <c r="AB70" s="141">
        <v>1</v>
      </c>
      <c r="AC70" s="141" t="s">
        <v>118</v>
      </c>
      <c r="AD70" s="143">
        <f>AB70*'Daftar HPP'!$L$96</f>
        <v>11489.68512486428</v>
      </c>
      <c r="AF70" s="141">
        <v>3</v>
      </c>
      <c r="AG70" s="142" t="s">
        <v>269</v>
      </c>
      <c r="AH70" s="141">
        <v>1</v>
      </c>
      <c r="AI70" s="141" t="s">
        <v>118</v>
      </c>
      <c r="AJ70" s="143">
        <f>AH70*'Daftar HPP'!$L$96</f>
        <v>11489.68512486428</v>
      </c>
    </row>
    <row r="71" spans="2:36" x14ac:dyDescent="0.45">
      <c r="B71" s="141">
        <v>4</v>
      </c>
      <c r="C71" s="142" t="s">
        <v>17</v>
      </c>
      <c r="D71" s="141">
        <v>30</v>
      </c>
      <c r="E71" s="141" t="s">
        <v>8</v>
      </c>
      <c r="F71" s="144">
        <f>D71*'Daftar HPP'!$F$152</f>
        <v>2093.9588100686497</v>
      </c>
      <c r="H71" s="141">
        <v>4</v>
      </c>
      <c r="I71" s="142" t="s">
        <v>25</v>
      </c>
      <c r="J71" s="141">
        <v>30</v>
      </c>
      <c r="K71" s="141" t="s">
        <v>8</v>
      </c>
      <c r="L71" s="144">
        <f>J71*'Daftar HPP'!$G$22</f>
        <v>1995</v>
      </c>
      <c r="N71" s="141">
        <v>4</v>
      </c>
      <c r="O71" s="142" t="s">
        <v>107</v>
      </c>
      <c r="P71" s="141">
        <v>30</v>
      </c>
      <c r="Q71" s="141" t="s">
        <v>8</v>
      </c>
      <c r="R71" s="144">
        <f>P71*'Daftar HPP'!$L$152</f>
        <v>2144.1036802532649</v>
      </c>
      <c r="T71" s="141">
        <v>4</v>
      </c>
      <c r="U71" s="142" t="s">
        <v>17</v>
      </c>
      <c r="V71" s="141">
        <v>30</v>
      </c>
      <c r="W71" s="141" t="s">
        <v>8</v>
      </c>
      <c r="X71" s="144">
        <f>V71*'Daftar HPP'!$F$152</f>
        <v>2093.9588100686497</v>
      </c>
      <c r="Z71" s="141">
        <v>4</v>
      </c>
      <c r="AA71" s="142" t="s">
        <v>25</v>
      </c>
      <c r="AB71" s="141">
        <v>30</v>
      </c>
      <c r="AC71" s="141" t="s">
        <v>8</v>
      </c>
      <c r="AD71" s="144">
        <f>AB71*'Daftar HPP'!$G$22</f>
        <v>1995</v>
      </c>
      <c r="AF71" s="141">
        <v>4</v>
      </c>
      <c r="AG71" s="142" t="s">
        <v>107</v>
      </c>
      <c r="AH71" s="141">
        <v>30</v>
      </c>
      <c r="AI71" s="141" t="s">
        <v>8</v>
      </c>
      <c r="AJ71" s="144">
        <f>AH71*'Daftar HPP'!$L$152</f>
        <v>2144.1036802532649</v>
      </c>
    </row>
    <row r="72" spans="2:36" x14ac:dyDescent="0.45">
      <c r="B72" s="141">
        <v>5</v>
      </c>
      <c r="C72" s="142" t="s">
        <v>105</v>
      </c>
      <c r="D72" s="141">
        <v>30</v>
      </c>
      <c r="E72" s="141" t="s">
        <v>8</v>
      </c>
      <c r="F72" s="144">
        <f>D72*'Daftar HPP'!$F$143</f>
        <v>2146.3497453310692</v>
      </c>
      <c r="H72" s="141">
        <v>5</v>
      </c>
      <c r="I72" s="142" t="s">
        <v>107</v>
      </c>
      <c r="J72" s="141">
        <v>30</v>
      </c>
      <c r="K72" s="141" t="s">
        <v>8</v>
      </c>
      <c r="L72" s="144">
        <f>J72*'Daftar HPP'!$L$152</f>
        <v>2144.1036802532649</v>
      </c>
      <c r="N72" s="141">
        <v>5</v>
      </c>
      <c r="O72" s="142" t="s">
        <v>26</v>
      </c>
      <c r="P72" s="141">
        <v>30</v>
      </c>
      <c r="Q72" s="141" t="s">
        <v>8</v>
      </c>
      <c r="R72" s="144">
        <f>P72*'Daftar HPP'!$L$143</f>
        <v>1647.4064221926658</v>
      </c>
      <c r="T72" s="141">
        <v>5</v>
      </c>
      <c r="U72" s="142" t="s">
        <v>105</v>
      </c>
      <c r="V72" s="141">
        <v>30</v>
      </c>
      <c r="W72" s="141" t="s">
        <v>8</v>
      </c>
      <c r="X72" s="144">
        <f>V72*'Daftar HPP'!$F$143</f>
        <v>2146.3497453310692</v>
      </c>
      <c r="Z72" s="141">
        <v>5</v>
      </c>
      <c r="AA72" s="142" t="s">
        <v>107</v>
      </c>
      <c r="AB72" s="141">
        <v>30</v>
      </c>
      <c r="AC72" s="141" t="s">
        <v>8</v>
      </c>
      <c r="AD72" s="144">
        <f>AB72*'Daftar HPP'!$L$152</f>
        <v>2144.1036802532649</v>
      </c>
      <c r="AF72" s="141">
        <v>5</v>
      </c>
      <c r="AG72" s="142" t="s">
        <v>26</v>
      </c>
      <c r="AH72" s="141">
        <v>30</v>
      </c>
      <c r="AI72" s="141" t="s">
        <v>8</v>
      </c>
      <c r="AJ72" s="144">
        <f>AH72*'Daftar HPP'!$L$143</f>
        <v>1647.4064221926658</v>
      </c>
    </row>
    <row r="73" spans="2:36" x14ac:dyDescent="0.45">
      <c r="B73" s="141">
        <v>6</v>
      </c>
      <c r="C73" s="142" t="s">
        <v>270</v>
      </c>
      <c r="D73" s="141">
        <v>1</v>
      </c>
      <c r="E73" s="141" t="s">
        <v>8</v>
      </c>
      <c r="F73" s="144">
        <f>D73*'Daftar HPP'!$G$33</f>
        <v>100</v>
      </c>
      <c r="H73" s="141">
        <v>6</v>
      </c>
      <c r="I73" s="142" t="s">
        <v>270</v>
      </c>
      <c r="J73" s="141">
        <v>1</v>
      </c>
      <c r="K73" s="141" t="s">
        <v>8</v>
      </c>
      <c r="L73" s="144">
        <f>J73*'Daftar HPP'!$G$33</f>
        <v>100</v>
      </c>
      <c r="N73" s="141">
        <v>6</v>
      </c>
      <c r="O73" s="142" t="s">
        <v>270</v>
      </c>
      <c r="P73" s="141">
        <v>1</v>
      </c>
      <c r="Q73" s="141" t="s">
        <v>8</v>
      </c>
      <c r="R73" s="144">
        <f>P73*'Daftar HPP'!$G$33</f>
        <v>100</v>
      </c>
      <c r="T73" s="141">
        <v>6</v>
      </c>
      <c r="U73" s="142" t="s">
        <v>270</v>
      </c>
      <c r="V73" s="141">
        <v>1</v>
      </c>
      <c r="W73" s="141" t="s">
        <v>8</v>
      </c>
      <c r="X73" s="144">
        <f>V73*'Daftar HPP'!$G$33</f>
        <v>100</v>
      </c>
      <c r="Z73" s="141">
        <v>6</v>
      </c>
      <c r="AA73" s="142" t="s">
        <v>270</v>
      </c>
      <c r="AB73" s="141">
        <v>1</v>
      </c>
      <c r="AC73" s="141" t="s">
        <v>8</v>
      </c>
      <c r="AD73" s="144">
        <f>AB73*'Daftar HPP'!$G$33</f>
        <v>100</v>
      </c>
      <c r="AF73" s="141">
        <v>6</v>
      </c>
      <c r="AG73" s="142" t="s">
        <v>270</v>
      </c>
      <c r="AH73" s="141">
        <v>1</v>
      </c>
      <c r="AI73" s="141" t="s">
        <v>8</v>
      </c>
      <c r="AJ73" s="144">
        <f>AH73*'Daftar HPP'!$G$33</f>
        <v>100</v>
      </c>
    </row>
    <row r="74" spans="2:36" x14ac:dyDescent="0.45">
      <c r="B74" s="141">
        <v>7</v>
      </c>
      <c r="C74" s="142" t="s">
        <v>251</v>
      </c>
      <c r="D74" s="141">
        <v>1</v>
      </c>
      <c r="E74" s="141" t="s">
        <v>28</v>
      </c>
      <c r="F74" s="144">
        <f>D74*'Daftar HPP'!$G$39</f>
        <v>1100</v>
      </c>
      <c r="H74" s="141">
        <v>7</v>
      </c>
      <c r="I74" s="142" t="s">
        <v>251</v>
      </c>
      <c r="J74" s="141">
        <v>1</v>
      </c>
      <c r="K74" s="141" t="s">
        <v>28</v>
      </c>
      <c r="L74" s="144">
        <f>J74*'Daftar HPP'!$G$39</f>
        <v>1100</v>
      </c>
      <c r="N74" s="141">
        <v>7</v>
      </c>
      <c r="O74" s="142" t="s">
        <v>251</v>
      </c>
      <c r="P74" s="141">
        <v>1</v>
      </c>
      <c r="Q74" s="141" t="s">
        <v>28</v>
      </c>
      <c r="R74" s="144">
        <f>P74*'Daftar HPP'!$G$39</f>
        <v>1100</v>
      </c>
      <c r="T74" s="141">
        <v>7</v>
      </c>
      <c r="U74" s="142" t="s">
        <v>251</v>
      </c>
      <c r="V74" s="141">
        <v>1</v>
      </c>
      <c r="W74" s="141" t="s">
        <v>28</v>
      </c>
      <c r="X74" s="144">
        <f>V74*'Daftar HPP'!$G$39</f>
        <v>1100</v>
      </c>
      <c r="Z74" s="141">
        <v>7</v>
      </c>
      <c r="AA74" s="142" t="s">
        <v>251</v>
      </c>
      <c r="AB74" s="141">
        <v>1</v>
      </c>
      <c r="AC74" s="141" t="s">
        <v>28</v>
      </c>
      <c r="AD74" s="144">
        <f>AB74*'Daftar HPP'!$G$39</f>
        <v>1100</v>
      </c>
      <c r="AF74" s="141">
        <v>7</v>
      </c>
      <c r="AG74" s="142" t="s">
        <v>251</v>
      </c>
      <c r="AH74" s="141">
        <v>1</v>
      </c>
      <c r="AI74" s="141" t="s">
        <v>28</v>
      </c>
      <c r="AJ74" s="144">
        <f>AH74*'Daftar HPP'!$G$39</f>
        <v>1100</v>
      </c>
    </row>
    <row r="75" spans="2:36" x14ac:dyDescent="0.45">
      <c r="B75" s="153"/>
      <c r="C75" s="150"/>
      <c r="D75" s="261" t="s">
        <v>53</v>
      </c>
      <c r="E75" s="261"/>
      <c r="F75" s="190">
        <f>SUM(F68:F74)</f>
        <v>19849.913152199191</v>
      </c>
      <c r="H75" s="153"/>
      <c r="I75" s="150"/>
      <c r="J75" s="261" t="s">
        <v>53</v>
      </c>
      <c r="K75" s="261"/>
      <c r="L75" s="190">
        <f>SUM(L68:L74)</f>
        <v>19748.708277052738</v>
      </c>
      <c r="N75" s="153"/>
      <c r="O75" s="150"/>
      <c r="P75" s="261" t="s">
        <v>53</v>
      </c>
      <c r="Q75" s="261"/>
      <c r="R75" s="190">
        <f>SUM(R68:R74)</f>
        <v>19401.114699245405</v>
      </c>
      <c r="T75" s="153"/>
      <c r="U75" s="150"/>
      <c r="V75" s="261" t="s">
        <v>53</v>
      </c>
      <c r="W75" s="261"/>
      <c r="X75" s="190">
        <f>SUM(X68:X74)</f>
        <v>30429.622707377235</v>
      </c>
      <c r="Z75" s="153"/>
      <c r="AA75" s="150"/>
      <c r="AB75" s="261" t="s">
        <v>53</v>
      </c>
      <c r="AC75" s="261"/>
      <c r="AD75" s="190">
        <f>SUM(AD68:AD74)</f>
        <v>30328.417832230782</v>
      </c>
      <c r="AF75" s="153"/>
      <c r="AG75" s="150"/>
      <c r="AH75" s="261" t="s">
        <v>53</v>
      </c>
      <c r="AI75" s="261"/>
      <c r="AJ75" s="190">
        <f>SUM(AJ68:AJ74)</f>
        <v>29980.824254423449</v>
      </c>
    </row>
    <row r="76" spans="2:36" x14ac:dyDescent="0.45">
      <c r="B76" s="153"/>
      <c r="C76" s="153"/>
      <c r="D76" s="256" t="s">
        <v>116</v>
      </c>
      <c r="E76" s="256"/>
      <c r="F76" s="147">
        <v>32000</v>
      </c>
      <c r="H76" s="153"/>
      <c r="I76" s="153"/>
      <c r="J76" s="256" t="s">
        <v>116</v>
      </c>
      <c r="K76" s="256"/>
      <c r="L76" s="147">
        <v>32000</v>
      </c>
      <c r="N76" s="153"/>
      <c r="O76" s="153"/>
      <c r="P76" s="256" t="s">
        <v>116</v>
      </c>
      <c r="Q76" s="256"/>
      <c r="R76" s="147">
        <v>32000</v>
      </c>
      <c r="T76" s="153"/>
      <c r="U76" s="153"/>
      <c r="V76" s="256" t="s">
        <v>116</v>
      </c>
      <c r="W76" s="256"/>
      <c r="X76" s="147">
        <v>49000</v>
      </c>
      <c r="Z76" s="153"/>
      <c r="AA76" s="153"/>
      <c r="AB76" s="256" t="s">
        <v>116</v>
      </c>
      <c r="AC76" s="256"/>
      <c r="AD76" s="147">
        <v>49000</v>
      </c>
      <c r="AF76" s="153"/>
      <c r="AG76" s="153"/>
      <c r="AH76" s="256" t="s">
        <v>116</v>
      </c>
      <c r="AI76" s="256"/>
      <c r="AJ76" s="147">
        <v>49000</v>
      </c>
    </row>
    <row r="77" spans="2:36" x14ac:dyDescent="0.45">
      <c r="B77" s="153"/>
      <c r="C77" s="153"/>
      <c r="D77" s="256" t="s">
        <v>119</v>
      </c>
      <c r="E77" s="256"/>
      <c r="F77" s="148">
        <f>F76-F75</f>
        <v>12150.086847800809</v>
      </c>
      <c r="H77" s="153"/>
      <c r="I77" s="153"/>
      <c r="J77" s="256" t="s">
        <v>119</v>
      </c>
      <c r="K77" s="256"/>
      <c r="L77" s="148">
        <f>L76-L75</f>
        <v>12251.291722947262</v>
      </c>
      <c r="N77" s="153"/>
      <c r="O77" s="153"/>
      <c r="P77" s="256" t="s">
        <v>119</v>
      </c>
      <c r="Q77" s="256"/>
      <c r="R77" s="148">
        <f>R76-R75</f>
        <v>12598.885300754595</v>
      </c>
      <c r="T77" s="153"/>
      <c r="U77" s="153"/>
      <c r="V77" s="256" t="s">
        <v>119</v>
      </c>
      <c r="W77" s="256"/>
      <c r="X77" s="148">
        <f>X76-X75</f>
        <v>18570.377292622765</v>
      </c>
      <c r="Z77" s="153"/>
      <c r="AA77" s="153"/>
      <c r="AB77" s="256" t="s">
        <v>119</v>
      </c>
      <c r="AC77" s="256"/>
      <c r="AD77" s="148">
        <f>AD76-AD75</f>
        <v>18671.582167769218</v>
      </c>
      <c r="AF77" s="153"/>
      <c r="AG77" s="153"/>
      <c r="AH77" s="256" t="s">
        <v>119</v>
      </c>
      <c r="AI77" s="256"/>
      <c r="AJ77" s="148">
        <f>AJ76-AJ75</f>
        <v>19019.175745576551</v>
      </c>
    </row>
    <row r="79" spans="2:36" ht="14.65" thickBot="1" x14ac:dyDescent="0.5">
      <c r="B79" s="2" t="s">
        <v>257</v>
      </c>
      <c r="H79" s="2" t="s">
        <v>261</v>
      </c>
      <c r="T79" s="2" t="s">
        <v>257</v>
      </c>
      <c r="Z79" s="2" t="s">
        <v>261</v>
      </c>
    </row>
    <row r="80" spans="2:36" x14ac:dyDescent="0.45">
      <c r="B80" s="119" t="s">
        <v>0</v>
      </c>
      <c r="C80" s="119" t="s">
        <v>49</v>
      </c>
      <c r="D80" s="119" t="s">
        <v>34</v>
      </c>
      <c r="E80" s="119" t="s">
        <v>50</v>
      </c>
      <c r="F80" s="119" t="s">
        <v>36</v>
      </c>
      <c r="H80" s="119" t="s">
        <v>0</v>
      </c>
      <c r="I80" s="119" t="s">
        <v>49</v>
      </c>
      <c r="J80" s="119" t="s">
        <v>34</v>
      </c>
      <c r="K80" s="119" t="s">
        <v>50</v>
      </c>
      <c r="L80" s="119" t="s">
        <v>36</v>
      </c>
      <c r="T80" s="119" t="s">
        <v>0</v>
      </c>
      <c r="U80" s="119" t="s">
        <v>49</v>
      </c>
      <c r="V80" s="119" t="s">
        <v>34</v>
      </c>
      <c r="W80" s="119" t="s">
        <v>50</v>
      </c>
      <c r="X80" s="119" t="s">
        <v>36</v>
      </c>
      <c r="Z80" s="119" t="s">
        <v>0</v>
      </c>
      <c r="AA80" s="119" t="s">
        <v>49</v>
      </c>
      <c r="AB80" s="119" t="s">
        <v>34</v>
      </c>
      <c r="AC80" s="119" t="s">
        <v>50</v>
      </c>
      <c r="AD80" s="119" t="s">
        <v>36</v>
      </c>
    </row>
    <row r="81" spans="2:30" x14ac:dyDescent="0.45">
      <c r="B81" s="141">
        <v>1</v>
      </c>
      <c r="C81" s="142" t="s">
        <v>112</v>
      </c>
      <c r="D81" s="141">
        <v>1</v>
      </c>
      <c r="E81" s="141" t="s">
        <v>6</v>
      </c>
      <c r="F81" s="143">
        <f>D81*'Daftar HPP'!$L$57</f>
        <v>4875.7315789473687</v>
      </c>
      <c r="H81" s="141">
        <v>1</v>
      </c>
      <c r="I81" s="142" t="s">
        <v>112</v>
      </c>
      <c r="J81" s="141">
        <v>1</v>
      </c>
      <c r="K81" s="141" t="s">
        <v>6</v>
      </c>
      <c r="L81" s="143">
        <f>J81*'Daftar HPP'!$L$57</f>
        <v>4875.7315789473687</v>
      </c>
      <c r="T81" s="141">
        <v>1</v>
      </c>
      <c r="U81" s="142" t="s">
        <v>112</v>
      </c>
      <c r="V81" s="141">
        <v>2</v>
      </c>
      <c r="W81" s="141" t="s">
        <v>6</v>
      </c>
      <c r="X81" s="143">
        <f>V81*'Daftar HPP'!$L$57</f>
        <v>9751.4631578947374</v>
      </c>
      <c r="Z81" s="141">
        <v>1</v>
      </c>
      <c r="AA81" s="142" t="s">
        <v>112</v>
      </c>
      <c r="AB81" s="141">
        <v>2</v>
      </c>
      <c r="AC81" s="141" t="s">
        <v>6</v>
      </c>
      <c r="AD81" s="143">
        <f>AB81*'Daftar HPP'!$L$57</f>
        <v>9751.4631578947374</v>
      </c>
    </row>
    <row r="82" spans="2:30" x14ac:dyDescent="0.45">
      <c r="B82" s="141">
        <v>2</v>
      </c>
      <c r="C82" s="142" t="s">
        <v>20</v>
      </c>
      <c r="D82" s="141">
        <v>40</v>
      </c>
      <c r="E82" s="141" t="s">
        <v>8</v>
      </c>
      <c r="F82" s="143">
        <f>D82*'Daftar HPP'!$F$114</f>
        <v>1874.0829346092503</v>
      </c>
      <c r="H82" s="141">
        <v>2</v>
      </c>
      <c r="I82" s="142" t="s">
        <v>20</v>
      </c>
      <c r="J82" s="141">
        <v>40</v>
      </c>
      <c r="K82" s="141" t="s">
        <v>8</v>
      </c>
      <c r="L82" s="143">
        <f>J82*'Daftar HPP'!$F$114</f>
        <v>1874.0829346092503</v>
      </c>
      <c r="T82" s="141">
        <v>2</v>
      </c>
      <c r="U82" s="142" t="s">
        <v>20</v>
      </c>
      <c r="V82" s="141">
        <v>80</v>
      </c>
      <c r="W82" s="141" t="s">
        <v>8</v>
      </c>
      <c r="X82" s="143">
        <f>V82*'Daftar HPP'!$F$114</f>
        <v>3748.1658692185006</v>
      </c>
      <c r="Z82" s="141">
        <v>2</v>
      </c>
      <c r="AA82" s="142" t="s">
        <v>20</v>
      </c>
      <c r="AB82" s="141">
        <v>80</v>
      </c>
      <c r="AC82" s="141" t="s">
        <v>8</v>
      </c>
      <c r="AD82" s="143">
        <f>AB82*'Daftar HPP'!$F$114</f>
        <v>3748.1658692185006</v>
      </c>
    </row>
    <row r="83" spans="2:30" x14ac:dyDescent="0.45">
      <c r="B83" s="141">
        <v>3</v>
      </c>
      <c r="C83" s="142" t="s">
        <v>254</v>
      </c>
      <c r="D83" s="141">
        <v>1</v>
      </c>
      <c r="E83" s="141" t="s">
        <v>118</v>
      </c>
      <c r="F83" s="143">
        <f>D83*'Daftar HPP'!$F$105</f>
        <v>7659.7900832428531</v>
      </c>
      <c r="H83" s="141">
        <v>3</v>
      </c>
      <c r="I83" s="142" t="s">
        <v>254</v>
      </c>
      <c r="J83" s="141">
        <v>1</v>
      </c>
      <c r="K83" s="141" t="s">
        <v>118</v>
      </c>
      <c r="L83" s="143">
        <f>J83*'Daftar HPP'!$F$105</f>
        <v>7659.7900832428531</v>
      </c>
      <c r="T83" s="141">
        <v>3</v>
      </c>
      <c r="U83" s="142" t="s">
        <v>269</v>
      </c>
      <c r="V83" s="141">
        <v>1</v>
      </c>
      <c r="W83" s="141" t="s">
        <v>118</v>
      </c>
      <c r="X83" s="143">
        <f>V83*'Daftar HPP'!$L$96</f>
        <v>11489.68512486428</v>
      </c>
      <c r="Z83" s="141">
        <v>3</v>
      </c>
      <c r="AA83" s="142" t="s">
        <v>269</v>
      </c>
      <c r="AB83" s="141">
        <v>1</v>
      </c>
      <c r="AC83" s="141" t="s">
        <v>118</v>
      </c>
      <c r="AD83" s="143">
        <f>AB83*'Daftar HPP'!$L$96</f>
        <v>11489.68512486428</v>
      </c>
    </row>
    <row r="84" spans="2:30" x14ac:dyDescent="0.45">
      <c r="B84" s="141">
        <v>4</v>
      </c>
      <c r="C84" s="142" t="s">
        <v>17</v>
      </c>
      <c r="D84" s="141">
        <v>30</v>
      </c>
      <c r="E84" s="141" t="s">
        <v>8</v>
      </c>
      <c r="F84" s="144">
        <f>D84*'Daftar HPP'!$F$152</f>
        <v>2093.9588100686497</v>
      </c>
      <c r="H84" s="141">
        <v>4</v>
      </c>
      <c r="I84" s="142" t="s">
        <v>25</v>
      </c>
      <c r="J84" s="141">
        <v>30</v>
      </c>
      <c r="K84" s="141" t="s">
        <v>8</v>
      </c>
      <c r="L84" s="144">
        <f>J84*'Daftar HPP'!$G$22</f>
        <v>1995</v>
      </c>
      <c r="T84" s="141">
        <v>4</v>
      </c>
      <c r="U84" s="142" t="s">
        <v>17</v>
      </c>
      <c r="V84" s="141">
        <v>30</v>
      </c>
      <c r="W84" s="141" t="s">
        <v>8</v>
      </c>
      <c r="X84" s="144">
        <f>V84*'Daftar HPP'!$F$152</f>
        <v>2093.9588100686497</v>
      </c>
      <c r="Z84" s="141">
        <v>4</v>
      </c>
      <c r="AA84" s="142" t="s">
        <v>25</v>
      </c>
      <c r="AB84" s="141">
        <v>30</v>
      </c>
      <c r="AC84" s="141" t="s">
        <v>8</v>
      </c>
      <c r="AD84" s="144">
        <f>AB84*'Daftar HPP'!$G$22</f>
        <v>1995</v>
      </c>
    </row>
    <row r="85" spans="2:30" x14ac:dyDescent="0.45">
      <c r="B85" s="141">
        <v>5</v>
      </c>
      <c r="C85" s="142" t="s">
        <v>107</v>
      </c>
      <c r="D85" s="141">
        <v>30</v>
      </c>
      <c r="E85" s="141" t="s">
        <v>8</v>
      </c>
      <c r="F85" s="144">
        <f>D85*'Daftar HPP'!$L$152</f>
        <v>2144.1036802532649</v>
      </c>
      <c r="H85" s="141">
        <v>5</v>
      </c>
      <c r="I85" s="142" t="s">
        <v>26</v>
      </c>
      <c r="J85" s="141">
        <v>30</v>
      </c>
      <c r="K85" s="141" t="s">
        <v>8</v>
      </c>
      <c r="L85" s="144">
        <f>J85*'Daftar HPP'!$L$143</f>
        <v>1647.4064221926658</v>
      </c>
      <c r="T85" s="141">
        <v>5</v>
      </c>
      <c r="U85" s="142" t="s">
        <v>107</v>
      </c>
      <c r="V85" s="141">
        <v>30</v>
      </c>
      <c r="W85" s="141" t="s">
        <v>8</v>
      </c>
      <c r="X85" s="144">
        <f>V85*'Daftar HPP'!$L$152</f>
        <v>2144.1036802532649</v>
      </c>
      <c r="Z85" s="141">
        <v>5</v>
      </c>
      <c r="AA85" s="142" t="s">
        <v>26</v>
      </c>
      <c r="AB85" s="141">
        <v>30</v>
      </c>
      <c r="AC85" s="141" t="s">
        <v>8</v>
      </c>
      <c r="AD85" s="144">
        <f>AB85*'Daftar HPP'!$L$143</f>
        <v>1647.4064221926658</v>
      </c>
    </row>
    <row r="86" spans="2:30" x14ac:dyDescent="0.45">
      <c r="B86" s="141">
        <v>6</v>
      </c>
      <c r="C86" s="142" t="s">
        <v>270</v>
      </c>
      <c r="D86" s="141">
        <v>1</v>
      </c>
      <c r="E86" s="141" t="s">
        <v>8</v>
      </c>
      <c r="F86" s="144">
        <f>D86*'Daftar HPP'!$G$33</f>
        <v>100</v>
      </c>
      <c r="H86" s="141">
        <v>6</v>
      </c>
      <c r="I86" s="142" t="s">
        <v>270</v>
      </c>
      <c r="J86" s="141">
        <v>1</v>
      </c>
      <c r="K86" s="141" t="s">
        <v>8</v>
      </c>
      <c r="L86" s="144">
        <f>J86*'Daftar HPP'!$G$33</f>
        <v>100</v>
      </c>
      <c r="T86" s="141">
        <v>6</v>
      </c>
      <c r="U86" s="142" t="s">
        <v>270</v>
      </c>
      <c r="V86" s="141">
        <v>1</v>
      </c>
      <c r="W86" s="141" t="s">
        <v>8</v>
      </c>
      <c r="X86" s="144">
        <f>V86*'Daftar HPP'!$G$33</f>
        <v>100</v>
      </c>
      <c r="Z86" s="141">
        <v>6</v>
      </c>
      <c r="AA86" s="142" t="s">
        <v>270</v>
      </c>
      <c r="AB86" s="141">
        <v>1</v>
      </c>
      <c r="AC86" s="141" t="s">
        <v>8</v>
      </c>
      <c r="AD86" s="144">
        <f>AB86*'Daftar HPP'!$G$33</f>
        <v>100</v>
      </c>
    </row>
    <row r="87" spans="2:30" x14ac:dyDescent="0.45">
      <c r="B87" s="141">
        <v>7</v>
      </c>
      <c r="C87" s="142" t="s">
        <v>251</v>
      </c>
      <c r="D87" s="141">
        <v>1</v>
      </c>
      <c r="E87" s="141" t="s">
        <v>28</v>
      </c>
      <c r="F87" s="144">
        <f>D87*'Daftar HPP'!$G$39</f>
        <v>1100</v>
      </c>
      <c r="H87" s="141">
        <v>7</v>
      </c>
      <c r="I87" s="142" t="s">
        <v>251</v>
      </c>
      <c r="J87" s="141">
        <v>1</v>
      </c>
      <c r="K87" s="141" t="s">
        <v>28</v>
      </c>
      <c r="L87" s="144">
        <f>J87*'Daftar HPP'!$G$39</f>
        <v>1100</v>
      </c>
      <c r="T87" s="141">
        <v>7</v>
      </c>
      <c r="U87" s="142" t="s">
        <v>251</v>
      </c>
      <c r="V87" s="141">
        <v>1</v>
      </c>
      <c r="W87" s="141" t="s">
        <v>28</v>
      </c>
      <c r="X87" s="144">
        <f>V87*'Daftar HPP'!$G$39</f>
        <v>1100</v>
      </c>
      <c r="Z87" s="141">
        <v>7</v>
      </c>
      <c r="AA87" s="142" t="s">
        <v>251</v>
      </c>
      <c r="AB87" s="141">
        <v>1</v>
      </c>
      <c r="AC87" s="141" t="s">
        <v>28</v>
      </c>
      <c r="AD87" s="144">
        <f>AB87*'Daftar HPP'!$G$39</f>
        <v>1100</v>
      </c>
    </row>
    <row r="88" spans="2:30" x14ac:dyDescent="0.45">
      <c r="B88" s="153"/>
      <c r="C88" s="150"/>
      <c r="D88" s="261" t="s">
        <v>53</v>
      </c>
      <c r="E88" s="261"/>
      <c r="F88" s="190">
        <f>SUM(F81:F87)</f>
        <v>19847.667087121386</v>
      </c>
      <c r="H88" s="153"/>
      <c r="I88" s="150"/>
      <c r="J88" s="257" t="s">
        <v>53</v>
      </c>
      <c r="K88" s="258"/>
      <c r="L88" s="190">
        <f>SUM(L81:L87)</f>
        <v>19252.01101899214</v>
      </c>
      <c r="T88" s="153"/>
      <c r="U88" s="150"/>
      <c r="V88" s="261" t="s">
        <v>53</v>
      </c>
      <c r="W88" s="261"/>
      <c r="X88" s="190">
        <f>SUM(X81:X87)</f>
        <v>30427.37664229943</v>
      </c>
      <c r="Z88" s="153"/>
      <c r="AA88" s="150"/>
      <c r="AB88" s="257" t="s">
        <v>53</v>
      </c>
      <c r="AC88" s="258"/>
      <c r="AD88" s="190">
        <f>SUM(AD81:AD87)</f>
        <v>29831.720574170184</v>
      </c>
    </row>
    <row r="89" spans="2:30" x14ac:dyDescent="0.45">
      <c r="B89" s="153"/>
      <c r="C89" s="153"/>
      <c r="D89" s="256" t="s">
        <v>116</v>
      </c>
      <c r="E89" s="256"/>
      <c r="F89" s="147">
        <v>32000</v>
      </c>
      <c r="H89" s="153"/>
      <c r="I89" s="153"/>
      <c r="J89" s="251" t="s">
        <v>116</v>
      </c>
      <c r="K89" s="252"/>
      <c r="L89" s="147">
        <v>32000</v>
      </c>
      <c r="T89" s="153"/>
      <c r="U89" s="153"/>
      <c r="V89" s="256" t="s">
        <v>116</v>
      </c>
      <c r="W89" s="256"/>
      <c r="X89" s="147">
        <v>49000</v>
      </c>
      <c r="Z89" s="153"/>
      <c r="AA89" s="153"/>
      <c r="AB89" s="251" t="s">
        <v>116</v>
      </c>
      <c r="AC89" s="252"/>
      <c r="AD89" s="147">
        <v>49000</v>
      </c>
    </row>
    <row r="90" spans="2:30" x14ac:dyDescent="0.45">
      <c r="B90" s="153"/>
      <c r="C90" s="153"/>
      <c r="D90" s="256" t="s">
        <v>119</v>
      </c>
      <c r="E90" s="256"/>
      <c r="F90" s="148">
        <f>F89-F88</f>
        <v>12152.332912878614</v>
      </c>
      <c r="H90" s="153"/>
      <c r="I90" s="153"/>
      <c r="J90" s="256" t="s">
        <v>119</v>
      </c>
      <c r="K90" s="256"/>
      <c r="L90" s="148">
        <f>L89-L88</f>
        <v>12747.98898100786</v>
      </c>
      <c r="T90" s="153"/>
      <c r="U90" s="153"/>
      <c r="V90" s="256" t="s">
        <v>119</v>
      </c>
      <c r="W90" s="256"/>
      <c r="X90" s="148">
        <f>X89-X88</f>
        <v>18572.62335770057</v>
      </c>
      <c r="Z90" s="153"/>
      <c r="AA90" s="153"/>
      <c r="AB90" s="256" t="s">
        <v>119</v>
      </c>
      <c r="AC90" s="256"/>
      <c r="AD90" s="148">
        <f>AD89-AD88</f>
        <v>19168.279425829816</v>
      </c>
    </row>
    <row r="92" spans="2:30" ht="14.65" thickBot="1" x14ac:dyDescent="0.5">
      <c r="B92" s="2" t="s">
        <v>258</v>
      </c>
      <c r="H92" s="2" t="s">
        <v>262</v>
      </c>
      <c r="T92" s="2" t="s">
        <v>258</v>
      </c>
      <c r="Z92" s="2" t="s">
        <v>262</v>
      </c>
    </row>
    <row r="93" spans="2:30" x14ac:dyDescent="0.45">
      <c r="B93" s="119" t="s">
        <v>0</v>
      </c>
      <c r="C93" s="119" t="s">
        <v>49</v>
      </c>
      <c r="D93" s="119" t="s">
        <v>34</v>
      </c>
      <c r="E93" s="119" t="s">
        <v>50</v>
      </c>
      <c r="F93" s="119" t="s">
        <v>36</v>
      </c>
      <c r="H93" s="119" t="s">
        <v>0</v>
      </c>
      <c r="I93" s="119" t="s">
        <v>49</v>
      </c>
      <c r="J93" s="119" t="s">
        <v>34</v>
      </c>
      <c r="K93" s="119" t="s">
        <v>50</v>
      </c>
      <c r="L93" s="119" t="s">
        <v>36</v>
      </c>
      <c r="T93" s="119" t="s">
        <v>0</v>
      </c>
      <c r="U93" s="119" t="s">
        <v>49</v>
      </c>
      <c r="V93" s="119" t="s">
        <v>34</v>
      </c>
      <c r="W93" s="119" t="s">
        <v>50</v>
      </c>
      <c r="X93" s="119" t="s">
        <v>36</v>
      </c>
      <c r="Z93" s="119" t="s">
        <v>0</v>
      </c>
      <c r="AA93" s="119" t="s">
        <v>49</v>
      </c>
      <c r="AB93" s="119" t="s">
        <v>34</v>
      </c>
      <c r="AC93" s="119" t="s">
        <v>50</v>
      </c>
      <c r="AD93" s="119" t="s">
        <v>36</v>
      </c>
    </row>
    <row r="94" spans="2:30" x14ac:dyDescent="0.45">
      <c r="B94" s="141">
        <v>1</v>
      </c>
      <c r="C94" s="142" t="s">
        <v>112</v>
      </c>
      <c r="D94" s="141">
        <v>1</v>
      </c>
      <c r="E94" s="141" t="s">
        <v>6</v>
      </c>
      <c r="F94" s="143">
        <f>D94*'Daftar HPP'!$L$57</f>
        <v>4875.7315789473687</v>
      </c>
      <c r="H94" s="141">
        <v>1</v>
      </c>
      <c r="I94" s="142" t="s">
        <v>112</v>
      </c>
      <c r="J94" s="141">
        <v>1</v>
      </c>
      <c r="K94" s="141" t="s">
        <v>6</v>
      </c>
      <c r="L94" s="143">
        <f>J94*'Daftar HPP'!$L$57</f>
        <v>4875.7315789473687</v>
      </c>
      <c r="T94" s="141">
        <v>1</v>
      </c>
      <c r="U94" s="142" t="s">
        <v>112</v>
      </c>
      <c r="V94" s="141">
        <v>2</v>
      </c>
      <c r="W94" s="141" t="s">
        <v>6</v>
      </c>
      <c r="X94" s="143">
        <f>V94*'Daftar HPP'!$L$57</f>
        <v>9751.4631578947374</v>
      </c>
      <c r="Z94" s="141">
        <v>1</v>
      </c>
      <c r="AA94" s="142" t="s">
        <v>112</v>
      </c>
      <c r="AB94" s="141">
        <v>2</v>
      </c>
      <c r="AC94" s="141" t="s">
        <v>6</v>
      </c>
      <c r="AD94" s="143">
        <f>AB94*'Daftar HPP'!$L$57</f>
        <v>9751.4631578947374</v>
      </c>
    </row>
    <row r="95" spans="2:30" x14ac:dyDescent="0.45">
      <c r="B95" s="141">
        <v>2</v>
      </c>
      <c r="C95" s="142" t="s">
        <v>20</v>
      </c>
      <c r="D95" s="141">
        <v>40</v>
      </c>
      <c r="E95" s="141" t="s">
        <v>8</v>
      </c>
      <c r="F95" s="143">
        <f>D95*'Daftar HPP'!$F$114</f>
        <v>1874.0829346092503</v>
      </c>
      <c r="H95" s="141">
        <v>2</v>
      </c>
      <c r="I95" s="142" t="s">
        <v>20</v>
      </c>
      <c r="J95" s="141">
        <v>40</v>
      </c>
      <c r="K95" s="141" t="s">
        <v>8</v>
      </c>
      <c r="L95" s="143">
        <f>J95*'Daftar HPP'!$F$114</f>
        <v>1874.0829346092503</v>
      </c>
      <c r="T95" s="141">
        <v>2</v>
      </c>
      <c r="U95" s="142" t="s">
        <v>20</v>
      </c>
      <c r="V95" s="141">
        <v>80</v>
      </c>
      <c r="W95" s="141" t="s">
        <v>8</v>
      </c>
      <c r="X95" s="143">
        <f>V95*'Daftar HPP'!$F$114</f>
        <v>3748.1658692185006</v>
      </c>
      <c r="Z95" s="141">
        <v>2</v>
      </c>
      <c r="AA95" s="142" t="s">
        <v>20</v>
      </c>
      <c r="AB95" s="141">
        <v>80</v>
      </c>
      <c r="AC95" s="141" t="s">
        <v>8</v>
      </c>
      <c r="AD95" s="143">
        <f>AB95*'Daftar HPP'!$F$114</f>
        <v>3748.1658692185006</v>
      </c>
    </row>
    <row r="96" spans="2:30" x14ac:dyDescent="0.45">
      <c r="B96" s="141">
        <v>3</v>
      </c>
      <c r="C96" s="142" t="s">
        <v>254</v>
      </c>
      <c r="D96" s="141">
        <v>1</v>
      </c>
      <c r="E96" s="141" t="s">
        <v>118</v>
      </c>
      <c r="F96" s="143">
        <f>D96*'Daftar HPP'!$F$105</f>
        <v>7659.7900832428531</v>
      </c>
      <c r="H96" s="141">
        <v>3</v>
      </c>
      <c r="I96" s="142" t="s">
        <v>254</v>
      </c>
      <c r="J96" s="141">
        <v>1</v>
      </c>
      <c r="K96" s="141" t="s">
        <v>118</v>
      </c>
      <c r="L96" s="143">
        <f>J96*'Daftar HPP'!$F$105</f>
        <v>7659.7900832428531</v>
      </c>
      <c r="T96" s="141">
        <v>3</v>
      </c>
      <c r="U96" s="142" t="s">
        <v>269</v>
      </c>
      <c r="V96" s="141">
        <v>1</v>
      </c>
      <c r="W96" s="141" t="s">
        <v>118</v>
      </c>
      <c r="X96" s="143">
        <f>V96*'Daftar HPP'!$L$96</f>
        <v>11489.68512486428</v>
      </c>
      <c r="Z96" s="141">
        <v>3</v>
      </c>
      <c r="AA96" s="142" t="s">
        <v>269</v>
      </c>
      <c r="AB96" s="141">
        <v>1</v>
      </c>
      <c r="AC96" s="141" t="s">
        <v>118</v>
      </c>
      <c r="AD96" s="143">
        <f>AB96*'Daftar HPP'!$L$96</f>
        <v>11489.68512486428</v>
      </c>
    </row>
    <row r="97" spans="2:36" x14ac:dyDescent="0.45">
      <c r="B97" s="141">
        <v>4</v>
      </c>
      <c r="C97" s="142" t="s">
        <v>17</v>
      </c>
      <c r="D97" s="141">
        <v>30</v>
      </c>
      <c r="E97" s="141" t="s">
        <v>8</v>
      </c>
      <c r="F97" s="144">
        <f>D97*'Daftar HPP'!$F$152</f>
        <v>2093.9588100686497</v>
      </c>
      <c r="H97" s="141">
        <v>4</v>
      </c>
      <c r="I97" s="142" t="s">
        <v>107</v>
      </c>
      <c r="J97" s="141">
        <v>30</v>
      </c>
      <c r="K97" s="141" t="s">
        <v>8</v>
      </c>
      <c r="L97" s="144">
        <f>J97*'Daftar HPP'!$L$152</f>
        <v>2144.1036802532649</v>
      </c>
      <c r="T97" s="141">
        <v>4</v>
      </c>
      <c r="U97" s="142" t="s">
        <v>17</v>
      </c>
      <c r="V97" s="141">
        <v>30</v>
      </c>
      <c r="W97" s="141" t="s">
        <v>8</v>
      </c>
      <c r="X97" s="144">
        <f>V97*'Daftar HPP'!$F$152</f>
        <v>2093.9588100686497</v>
      </c>
      <c r="Z97" s="141">
        <v>4</v>
      </c>
      <c r="AA97" s="142" t="s">
        <v>107</v>
      </c>
      <c r="AB97" s="141">
        <v>30</v>
      </c>
      <c r="AC97" s="141" t="s">
        <v>8</v>
      </c>
      <c r="AD97" s="144">
        <f>AB97*'Daftar HPP'!$L$152</f>
        <v>2144.1036802532649</v>
      </c>
    </row>
    <row r="98" spans="2:36" x14ac:dyDescent="0.45">
      <c r="B98" s="141">
        <v>5</v>
      </c>
      <c r="C98" s="142" t="s">
        <v>26</v>
      </c>
      <c r="D98" s="141">
        <v>30</v>
      </c>
      <c r="E98" s="141" t="s">
        <v>8</v>
      </c>
      <c r="F98" s="144">
        <f>D98*'Daftar HPP'!$L$143</f>
        <v>1647.4064221926658</v>
      </c>
      <c r="H98" s="141">
        <v>5</v>
      </c>
      <c r="I98" s="142" t="s">
        <v>105</v>
      </c>
      <c r="J98" s="141">
        <v>30</v>
      </c>
      <c r="K98" s="141" t="s">
        <v>8</v>
      </c>
      <c r="L98" s="144">
        <f>J98*'Daftar HPP'!$F$143</f>
        <v>2146.3497453310692</v>
      </c>
      <c r="T98" s="141">
        <v>5</v>
      </c>
      <c r="U98" s="142" t="s">
        <v>26</v>
      </c>
      <c r="V98" s="141">
        <v>30</v>
      </c>
      <c r="W98" s="141" t="s">
        <v>8</v>
      </c>
      <c r="X98" s="144">
        <f>V98*'Daftar HPP'!$L$143</f>
        <v>1647.4064221926658</v>
      </c>
      <c r="Z98" s="141">
        <v>5</v>
      </c>
      <c r="AA98" s="142" t="s">
        <v>105</v>
      </c>
      <c r="AB98" s="141">
        <v>30</v>
      </c>
      <c r="AC98" s="141" t="s">
        <v>8</v>
      </c>
      <c r="AD98" s="144">
        <f>AB98*'Daftar HPP'!$F$143</f>
        <v>2146.3497453310692</v>
      </c>
    </row>
    <row r="99" spans="2:36" x14ac:dyDescent="0.45">
      <c r="B99" s="141">
        <v>6</v>
      </c>
      <c r="C99" s="142" t="s">
        <v>270</v>
      </c>
      <c r="D99" s="141">
        <v>1</v>
      </c>
      <c r="E99" s="141" t="s">
        <v>8</v>
      </c>
      <c r="F99" s="144">
        <f>D99*'Daftar HPP'!$G$33</f>
        <v>100</v>
      </c>
      <c r="H99" s="141">
        <v>6</v>
      </c>
      <c r="I99" s="142" t="s">
        <v>270</v>
      </c>
      <c r="J99" s="141">
        <v>1</v>
      </c>
      <c r="K99" s="141" t="s">
        <v>8</v>
      </c>
      <c r="L99" s="144">
        <f>J99*'Daftar HPP'!$G$33</f>
        <v>100</v>
      </c>
      <c r="T99" s="141">
        <v>6</v>
      </c>
      <c r="U99" s="142" t="s">
        <v>270</v>
      </c>
      <c r="V99" s="141">
        <v>1</v>
      </c>
      <c r="W99" s="141" t="s">
        <v>8</v>
      </c>
      <c r="X99" s="144">
        <f>V99*'Daftar HPP'!$G$33</f>
        <v>100</v>
      </c>
      <c r="Z99" s="141">
        <v>6</v>
      </c>
      <c r="AA99" s="142" t="s">
        <v>270</v>
      </c>
      <c r="AB99" s="141">
        <v>1</v>
      </c>
      <c r="AC99" s="141" t="s">
        <v>8</v>
      </c>
      <c r="AD99" s="144">
        <f>AB99*'Daftar HPP'!$G$33</f>
        <v>100</v>
      </c>
    </row>
    <row r="100" spans="2:36" x14ac:dyDescent="0.45">
      <c r="B100" s="141">
        <v>7</v>
      </c>
      <c r="C100" s="142" t="s">
        <v>251</v>
      </c>
      <c r="D100" s="141">
        <v>1</v>
      </c>
      <c r="E100" s="141" t="s">
        <v>28</v>
      </c>
      <c r="F100" s="144">
        <f>D100*'Daftar HPP'!$G$39</f>
        <v>1100</v>
      </c>
      <c r="H100" s="141">
        <v>7</v>
      </c>
      <c r="I100" s="142" t="s">
        <v>251</v>
      </c>
      <c r="J100" s="141">
        <v>1</v>
      </c>
      <c r="K100" s="141" t="s">
        <v>28</v>
      </c>
      <c r="L100" s="144">
        <f>J100*'Daftar HPP'!$G$39</f>
        <v>1100</v>
      </c>
      <c r="T100" s="141">
        <v>7</v>
      </c>
      <c r="U100" s="142" t="s">
        <v>251</v>
      </c>
      <c r="V100" s="141">
        <v>1</v>
      </c>
      <c r="W100" s="141" t="s">
        <v>28</v>
      </c>
      <c r="X100" s="144">
        <f>V100*'Daftar HPP'!$G$39</f>
        <v>1100</v>
      </c>
      <c r="Z100" s="141">
        <v>7</v>
      </c>
      <c r="AA100" s="142" t="s">
        <v>251</v>
      </c>
      <c r="AB100" s="141">
        <v>1</v>
      </c>
      <c r="AC100" s="141" t="s">
        <v>28</v>
      </c>
      <c r="AD100" s="144">
        <f>AB100*'Daftar HPP'!$G$39</f>
        <v>1100</v>
      </c>
    </row>
    <row r="101" spans="2:36" x14ac:dyDescent="0.45">
      <c r="B101" s="153"/>
      <c r="C101" s="150"/>
      <c r="D101" s="261" t="s">
        <v>53</v>
      </c>
      <c r="E101" s="261"/>
      <c r="F101" s="190">
        <f>SUM(F94:F100)</f>
        <v>19350.969829060788</v>
      </c>
      <c r="H101" s="153"/>
      <c r="I101" s="150"/>
      <c r="J101" s="261" t="s">
        <v>53</v>
      </c>
      <c r="K101" s="261"/>
      <c r="L101" s="190">
        <f>SUM(L94:L100)</f>
        <v>19900.058022383808</v>
      </c>
      <c r="T101" s="153"/>
      <c r="U101" s="150"/>
      <c r="V101" s="261" t="s">
        <v>53</v>
      </c>
      <c r="W101" s="261"/>
      <c r="X101" s="190">
        <f>SUM(X94:X100)</f>
        <v>29930.679384238832</v>
      </c>
      <c r="Z101" s="153"/>
      <c r="AA101" s="150"/>
      <c r="AB101" s="261" t="s">
        <v>53</v>
      </c>
      <c r="AC101" s="261"/>
      <c r="AD101" s="190">
        <f>SUM(AD94:AD100)</f>
        <v>30479.767577561852</v>
      </c>
    </row>
    <row r="102" spans="2:36" x14ac:dyDescent="0.45">
      <c r="B102" s="153"/>
      <c r="C102" s="153"/>
      <c r="D102" s="256" t="s">
        <v>116</v>
      </c>
      <c r="E102" s="256"/>
      <c r="F102" s="147">
        <v>32000</v>
      </c>
      <c r="H102" s="153"/>
      <c r="I102" s="153"/>
      <c r="J102" s="256" t="s">
        <v>116</v>
      </c>
      <c r="K102" s="256"/>
      <c r="L102" s="147">
        <v>32000</v>
      </c>
      <c r="T102" s="153"/>
      <c r="U102" s="153"/>
      <c r="V102" s="256" t="s">
        <v>116</v>
      </c>
      <c r="W102" s="256"/>
      <c r="X102" s="147">
        <v>49000</v>
      </c>
      <c r="Z102" s="153"/>
      <c r="AA102" s="153"/>
      <c r="AB102" s="256" t="s">
        <v>116</v>
      </c>
      <c r="AC102" s="256"/>
      <c r="AD102" s="147">
        <v>49000</v>
      </c>
    </row>
    <row r="103" spans="2:36" x14ac:dyDescent="0.45">
      <c r="B103" s="153"/>
      <c r="C103" s="153"/>
      <c r="D103" s="256" t="s">
        <v>119</v>
      </c>
      <c r="E103" s="256"/>
      <c r="F103" s="148">
        <f>F102-F101</f>
        <v>12649.030170939212</v>
      </c>
      <c r="H103" s="153"/>
      <c r="I103" s="153"/>
      <c r="J103" s="256" t="s">
        <v>119</v>
      </c>
      <c r="K103" s="256"/>
      <c r="L103" s="148">
        <f>L102-L101</f>
        <v>12099.941977616192</v>
      </c>
      <c r="T103" s="153"/>
      <c r="U103" s="153"/>
      <c r="V103" s="256" t="s">
        <v>119</v>
      </c>
      <c r="W103" s="256"/>
      <c r="X103" s="148">
        <f>X102-X101</f>
        <v>19069.320615761168</v>
      </c>
      <c r="Z103" s="153"/>
      <c r="AA103" s="153"/>
      <c r="AB103" s="256" t="s">
        <v>119</v>
      </c>
      <c r="AC103" s="256"/>
      <c r="AD103" s="148">
        <f>AD102-AD101</f>
        <v>18520.232422438148</v>
      </c>
    </row>
    <row r="105" spans="2:36" ht="15.4" x14ac:dyDescent="0.45">
      <c r="B105" s="259" t="s">
        <v>309</v>
      </c>
      <c r="C105" s="259"/>
      <c r="D105" s="259"/>
      <c r="E105" s="259"/>
      <c r="F105" s="259"/>
      <c r="G105" s="259"/>
      <c r="H105" s="259"/>
      <c r="I105" s="259"/>
      <c r="J105" s="259"/>
      <c r="K105" s="259"/>
      <c r="L105" s="259"/>
      <c r="M105" s="259"/>
      <c r="N105" s="259"/>
      <c r="O105" s="259"/>
      <c r="P105" s="259"/>
      <c r="Q105" s="259"/>
      <c r="R105" s="259"/>
      <c r="T105" s="259" t="s">
        <v>310</v>
      </c>
      <c r="U105" s="259"/>
      <c r="V105" s="259"/>
      <c r="W105" s="259"/>
      <c r="X105" s="259"/>
      <c r="Y105" s="259"/>
      <c r="Z105" s="259"/>
      <c r="AA105" s="259"/>
      <c r="AB105" s="259"/>
      <c r="AC105" s="259"/>
      <c r="AD105" s="259"/>
      <c r="AE105" s="259"/>
      <c r="AF105" s="259"/>
      <c r="AG105" s="259"/>
      <c r="AH105" s="259"/>
      <c r="AI105" s="259"/>
      <c r="AJ105" s="259"/>
    </row>
    <row r="106" spans="2:36" ht="14.65" thickBot="1" x14ac:dyDescent="0.5">
      <c r="B106" s="2" t="s">
        <v>253</v>
      </c>
      <c r="H106" s="2" t="s">
        <v>259</v>
      </c>
      <c r="N106" s="2" t="s">
        <v>263</v>
      </c>
      <c r="T106" s="2" t="s">
        <v>253</v>
      </c>
      <c r="Z106" s="2" t="s">
        <v>259</v>
      </c>
      <c r="AF106" s="2" t="s">
        <v>263</v>
      </c>
    </row>
    <row r="107" spans="2:36" x14ac:dyDescent="0.45">
      <c r="B107" s="119" t="s">
        <v>0</v>
      </c>
      <c r="C107" s="119" t="s">
        <v>49</v>
      </c>
      <c r="D107" s="119" t="s">
        <v>34</v>
      </c>
      <c r="E107" s="119" t="s">
        <v>50</v>
      </c>
      <c r="F107" s="119" t="s">
        <v>36</v>
      </c>
      <c r="H107" s="119" t="s">
        <v>0</v>
      </c>
      <c r="I107" s="119" t="s">
        <v>49</v>
      </c>
      <c r="J107" s="119" t="s">
        <v>34</v>
      </c>
      <c r="K107" s="119" t="s">
        <v>50</v>
      </c>
      <c r="L107" s="119" t="s">
        <v>36</v>
      </c>
      <c r="N107" s="119" t="s">
        <v>0</v>
      </c>
      <c r="O107" s="119" t="s">
        <v>49</v>
      </c>
      <c r="P107" s="119" t="s">
        <v>34</v>
      </c>
      <c r="Q107" s="119" t="s">
        <v>50</v>
      </c>
      <c r="R107" s="119" t="s">
        <v>36</v>
      </c>
      <c r="T107" s="119" t="s">
        <v>0</v>
      </c>
      <c r="U107" s="119" t="s">
        <v>49</v>
      </c>
      <c r="V107" s="119" t="s">
        <v>34</v>
      </c>
      <c r="W107" s="119" t="s">
        <v>50</v>
      </c>
      <c r="X107" s="119" t="s">
        <v>36</v>
      </c>
      <c r="Z107" s="119" t="s">
        <v>0</v>
      </c>
      <c r="AA107" s="119" t="s">
        <v>49</v>
      </c>
      <c r="AB107" s="119" t="s">
        <v>34</v>
      </c>
      <c r="AC107" s="119" t="s">
        <v>50</v>
      </c>
      <c r="AD107" s="119" t="s">
        <v>36</v>
      </c>
      <c r="AF107" s="119" t="s">
        <v>0</v>
      </c>
      <c r="AG107" s="119" t="s">
        <v>49</v>
      </c>
      <c r="AH107" s="119" t="s">
        <v>34</v>
      </c>
      <c r="AI107" s="119" t="s">
        <v>50</v>
      </c>
      <c r="AJ107" s="119" t="s">
        <v>36</v>
      </c>
    </row>
    <row r="108" spans="2:36" x14ac:dyDescent="0.45">
      <c r="B108" s="141">
        <v>1</v>
      </c>
      <c r="C108" s="142" t="s">
        <v>112</v>
      </c>
      <c r="D108" s="141">
        <v>1</v>
      </c>
      <c r="E108" s="141" t="s">
        <v>6</v>
      </c>
      <c r="F108" s="143">
        <f>D108*'Daftar HPP'!$L$57</f>
        <v>4875.7315789473687</v>
      </c>
      <c r="H108" s="141">
        <v>1</v>
      </c>
      <c r="I108" s="142" t="s">
        <v>112</v>
      </c>
      <c r="J108" s="141">
        <v>1</v>
      </c>
      <c r="K108" s="141" t="s">
        <v>6</v>
      </c>
      <c r="L108" s="143">
        <f>J108*'Daftar HPP'!$L$57</f>
        <v>4875.7315789473687</v>
      </c>
      <c r="N108" s="141">
        <v>1</v>
      </c>
      <c r="O108" s="142" t="s">
        <v>112</v>
      </c>
      <c r="P108" s="141">
        <v>1</v>
      </c>
      <c r="Q108" s="141" t="s">
        <v>6</v>
      </c>
      <c r="R108" s="143">
        <f>P108*'Daftar HPP'!$L$57</f>
        <v>4875.7315789473687</v>
      </c>
      <c r="T108" s="141">
        <v>1</v>
      </c>
      <c r="U108" s="142" t="s">
        <v>112</v>
      </c>
      <c r="V108" s="141">
        <v>2</v>
      </c>
      <c r="W108" s="141" t="s">
        <v>6</v>
      </c>
      <c r="X108" s="143">
        <f>V108*'Daftar HPP'!$L$57</f>
        <v>9751.4631578947374</v>
      </c>
      <c r="Z108" s="141">
        <v>1</v>
      </c>
      <c r="AA108" s="142" t="s">
        <v>112</v>
      </c>
      <c r="AB108" s="141">
        <v>2</v>
      </c>
      <c r="AC108" s="141" t="s">
        <v>6</v>
      </c>
      <c r="AD108" s="143">
        <f>AB108*'Daftar HPP'!$L$57</f>
        <v>9751.4631578947374</v>
      </c>
      <c r="AF108" s="141">
        <v>1</v>
      </c>
      <c r="AG108" s="142" t="s">
        <v>112</v>
      </c>
      <c r="AH108" s="141">
        <v>2</v>
      </c>
      <c r="AI108" s="141" t="s">
        <v>6</v>
      </c>
      <c r="AJ108" s="143">
        <f>AH108*'Daftar HPP'!$L$57</f>
        <v>9751.4631578947374</v>
      </c>
    </row>
    <row r="109" spans="2:36" x14ac:dyDescent="0.45">
      <c r="B109" s="141">
        <v>2</v>
      </c>
      <c r="C109" s="142" t="s">
        <v>18</v>
      </c>
      <c r="D109" s="141">
        <v>40</v>
      </c>
      <c r="E109" s="141" t="s">
        <v>8</v>
      </c>
      <c r="F109" s="143">
        <f>D109*'Daftar HPP'!$F$123</f>
        <v>1845.2950558213715</v>
      </c>
      <c r="H109" s="141">
        <v>2</v>
      </c>
      <c r="I109" s="142" t="s">
        <v>18</v>
      </c>
      <c r="J109" s="141">
        <v>40</v>
      </c>
      <c r="K109" s="141" t="s">
        <v>8</v>
      </c>
      <c r="L109" s="143">
        <f>J109*'Daftar HPP'!$F$123</f>
        <v>1845.2950558213715</v>
      </c>
      <c r="N109" s="141">
        <v>2</v>
      </c>
      <c r="O109" s="142" t="s">
        <v>18</v>
      </c>
      <c r="P109" s="141">
        <v>40</v>
      </c>
      <c r="Q109" s="141" t="s">
        <v>8</v>
      </c>
      <c r="R109" s="143">
        <f>P109*'Daftar HPP'!$F$123</f>
        <v>1845.2950558213715</v>
      </c>
      <c r="T109" s="141">
        <v>2</v>
      </c>
      <c r="U109" s="142" t="s">
        <v>18</v>
      </c>
      <c r="V109" s="141">
        <v>80</v>
      </c>
      <c r="W109" s="141" t="s">
        <v>8</v>
      </c>
      <c r="X109" s="143">
        <f>V109*'Daftar HPP'!$F$123</f>
        <v>3690.5901116427431</v>
      </c>
      <c r="Z109" s="141">
        <v>2</v>
      </c>
      <c r="AA109" s="142" t="s">
        <v>18</v>
      </c>
      <c r="AB109" s="141">
        <v>80</v>
      </c>
      <c r="AC109" s="141" t="s">
        <v>8</v>
      </c>
      <c r="AD109" s="143">
        <f>AB109*'Daftar HPP'!$F$123</f>
        <v>3690.5901116427431</v>
      </c>
      <c r="AF109" s="141">
        <v>2</v>
      </c>
      <c r="AG109" s="142" t="s">
        <v>18</v>
      </c>
      <c r="AH109" s="141">
        <v>80</v>
      </c>
      <c r="AI109" s="141" t="s">
        <v>8</v>
      </c>
      <c r="AJ109" s="143">
        <f>AH109*'Daftar HPP'!$F$123</f>
        <v>3690.5901116427431</v>
      </c>
    </row>
    <row r="110" spans="2:36" x14ac:dyDescent="0.45">
      <c r="B110" s="141">
        <v>3</v>
      </c>
      <c r="C110" s="142" t="s">
        <v>254</v>
      </c>
      <c r="D110" s="141">
        <v>1</v>
      </c>
      <c r="E110" s="141" t="s">
        <v>118</v>
      </c>
      <c r="F110" s="143">
        <f>D110*'Daftar HPP'!$F$105</f>
        <v>7659.7900832428531</v>
      </c>
      <c r="H110" s="141">
        <v>3</v>
      </c>
      <c r="I110" s="142" t="s">
        <v>254</v>
      </c>
      <c r="J110" s="141">
        <v>1</v>
      </c>
      <c r="K110" s="141" t="s">
        <v>118</v>
      </c>
      <c r="L110" s="143">
        <f>J110*'Daftar HPP'!$F$105</f>
        <v>7659.7900832428531</v>
      </c>
      <c r="N110" s="141">
        <v>3</v>
      </c>
      <c r="O110" s="142" t="s">
        <v>254</v>
      </c>
      <c r="P110" s="141">
        <v>1</v>
      </c>
      <c r="Q110" s="141" t="s">
        <v>118</v>
      </c>
      <c r="R110" s="143">
        <f>P110*'Daftar HPP'!$F$105</f>
        <v>7659.7900832428531</v>
      </c>
      <c r="T110" s="141">
        <v>3</v>
      </c>
      <c r="U110" s="142" t="s">
        <v>269</v>
      </c>
      <c r="V110" s="141">
        <v>1</v>
      </c>
      <c r="W110" s="141" t="s">
        <v>118</v>
      </c>
      <c r="X110" s="143">
        <f>V110*'Daftar HPP'!$L$96</f>
        <v>11489.68512486428</v>
      </c>
      <c r="Z110" s="141">
        <v>3</v>
      </c>
      <c r="AA110" s="142" t="s">
        <v>269</v>
      </c>
      <c r="AB110" s="141">
        <v>1</v>
      </c>
      <c r="AC110" s="141" t="s">
        <v>118</v>
      </c>
      <c r="AD110" s="143">
        <f>AB110*'Daftar HPP'!$L$96</f>
        <v>11489.68512486428</v>
      </c>
      <c r="AF110" s="141">
        <v>3</v>
      </c>
      <c r="AG110" s="142" t="s">
        <v>269</v>
      </c>
      <c r="AH110" s="141">
        <v>1</v>
      </c>
      <c r="AI110" s="141" t="s">
        <v>118</v>
      </c>
      <c r="AJ110" s="143">
        <f>AH110*'Daftar HPP'!$L$96</f>
        <v>11489.68512486428</v>
      </c>
    </row>
    <row r="111" spans="2:36" x14ac:dyDescent="0.45">
      <c r="B111" s="141">
        <v>4</v>
      </c>
      <c r="C111" s="142" t="s">
        <v>17</v>
      </c>
      <c r="D111" s="141">
        <v>30</v>
      </c>
      <c r="E111" s="141" t="s">
        <v>8</v>
      </c>
      <c r="F111" s="144">
        <f>D111*'Daftar HPP'!$F$152</f>
        <v>2093.9588100686497</v>
      </c>
      <c r="H111" s="141">
        <v>4</v>
      </c>
      <c r="I111" s="142" t="s">
        <v>25</v>
      </c>
      <c r="J111" s="141">
        <v>30</v>
      </c>
      <c r="K111" s="141" t="s">
        <v>8</v>
      </c>
      <c r="L111" s="144">
        <f>J111*'Daftar HPP'!$G$22</f>
        <v>1995</v>
      </c>
      <c r="N111" s="141">
        <v>4</v>
      </c>
      <c r="O111" s="142" t="s">
        <v>107</v>
      </c>
      <c r="P111" s="141">
        <v>30</v>
      </c>
      <c r="Q111" s="141" t="s">
        <v>8</v>
      </c>
      <c r="R111" s="144">
        <f>P111*'Daftar HPP'!$L$152</f>
        <v>2144.1036802532649</v>
      </c>
      <c r="T111" s="141">
        <v>4</v>
      </c>
      <c r="U111" s="142" t="s">
        <v>17</v>
      </c>
      <c r="V111" s="141">
        <v>30</v>
      </c>
      <c r="W111" s="141" t="s">
        <v>8</v>
      </c>
      <c r="X111" s="144">
        <f>V111*'Daftar HPP'!$F$152</f>
        <v>2093.9588100686497</v>
      </c>
      <c r="Z111" s="141">
        <v>4</v>
      </c>
      <c r="AA111" s="142" t="s">
        <v>25</v>
      </c>
      <c r="AB111" s="141">
        <v>30</v>
      </c>
      <c r="AC111" s="141" t="s">
        <v>8</v>
      </c>
      <c r="AD111" s="144">
        <f>AB111*'Daftar HPP'!$G$22</f>
        <v>1995</v>
      </c>
      <c r="AF111" s="141">
        <v>4</v>
      </c>
      <c r="AG111" s="142" t="s">
        <v>107</v>
      </c>
      <c r="AH111" s="141">
        <v>30</v>
      </c>
      <c r="AI111" s="141" t="s">
        <v>8</v>
      </c>
      <c r="AJ111" s="144">
        <f>AH111*'Daftar HPP'!$L$152</f>
        <v>2144.1036802532649</v>
      </c>
    </row>
    <row r="112" spans="2:36" x14ac:dyDescent="0.45">
      <c r="B112" s="141">
        <v>5</v>
      </c>
      <c r="C112" s="142" t="s">
        <v>25</v>
      </c>
      <c r="D112" s="141">
        <v>30</v>
      </c>
      <c r="E112" s="141" t="s">
        <v>8</v>
      </c>
      <c r="F112" s="144">
        <f>D112*'Daftar HPP'!$G$22</f>
        <v>1995</v>
      </c>
      <c r="H112" s="141">
        <v>5</v>
      </c>
      <c r="I112" s="142" t="s">
        <v>105</v>
      </c>
      <c r="J112" s="141">
        <v>30</v>
      </c>
      <c r="K112" s="141" t="s">
        <v>8</v>
      </c>
      <c r="L112" s="144">
        <f>J112*'Daftar HPP'!$F$143</f>
        <v>2146.3497453310692</v>
      </c>
      <c r="N112" s="141">
        <v>5</v>
      </c>
      <c r="O112" s="142" t="s">
        <v>26</v>
      </c>
      <c r="P112" s="141">
        <v>30</v>
      </c>
      <c r="Q112" s="141" t="s">
        <v>8</v>
      </c>
      <c r="R112" s="144">
        <f>P112*'Daftar HPP'!$L$143</f>
        <v>1647.4064221926658</v>
      </c>
      <c r="T112" s="141">
        <v>5</v>
      </c>
      <c r="U112" s="142" t="s">
        <v>25</v>
      </c>
      <c r="V112" s="141">
        <v>30</v>
      </c>
      <c r="W112" s="141" t="s">
        <v>8</v>
      </c>
      <c r="X112" s="144">
        <f>V112*'Daftar HPP'!$G$22</f>
        <v>1995</v>
      </c>
      <c r="Z112" s="141">
        <v>5</v>
      </c>
      <c r="AA112" s="142" t="s">
        <v>105</v>
      </c>
      <c r="AB112" s="141">
        <v>30</v>
      </c>
      <c r="AC112" s="141" t="s">
        <v>8</v>
      </c>
      <c r="AD112" s="144">
        <f>AB112*'Daftar HPP'!$F$143</f>
        <v>2146.3497453310692</v>
      </c>
      <c r="AF112" s="141">
        <v>5</v>
      </c>
      <c r="AG112" s="142" t="s">
        <v>26</v>
      </c>
      <c r="AH112" s="141">
        <v>30</v>
      </c>
      <c r="AI112" s="141" t="s">
        <v>8</v>
      </c>
      <c r="AJ112" s="144">
        <f>AH112*'Daftar HPP'!$L$143</f>
        <v>1647.4064221926658</v>
      </c>
    </row>
    <row r="113" spans="2:36" x14ac:dyDescent="0.45">
      <c r="B113" s="141">
        <v>6</v>
      </c>
      <c r="C113" s="142" t="s">
        <v>270</v>
      </c>
      <c r="D113" s="141">
        <v>1</v>
      </c>
      <c r="E113" s="141" t="s">
        <v>8</v>
      </c>
      <c r="F113" s="144">
        <f>D113*'Daftar HPP'!$G$33</f>
        <v>100</v>
      </c>
      <c r="H113" s="141">
        <v>6</v>
      </c>
      <c r="I113" s="142" t="s">
        <v>270</v>
      </c>
      <c r="J113" s="141">
        <v>1</v>
      </c>
      <c r="K113" s="141" t="s">
        <v>8</v>
      </c>
      <c r="L113" s="144">
        <f>J113*'Daftar HPP'!$G$33</f>
        <v>100</v>
      </c>
      <c r="N113" s="141">
        <v>6</v>
      </c>
      <c r="O113" s="142" t="s">
        <v>270</v>
      </c>
      <c r="P113" s="141">
        <v>1</v>
      </c>
      <c r="Q113" s="141" t="s">
        <v>8</v>
      </c>
      <c r="R113" s="144">
        <f>P113*'Daftar HPP'!$G$33</f>
        <v>100</v>
      </c>
      <c r="T113" s="141">
        <v>6</v>
      </c>
      <c r="U113" s="142" t="s">
        <v>270</v>
      </c>
      <c r="V113" s="141">
        <v>1</v>
      </c>
      <c r="W113" s="141" t="s">
        <v>8</v>
      </c>
      <c r="X113" s="144">
        <f>V113*'Daftar HPP'!$G$33</f>
        <v>100</v>
      </c>
      <c r="Z113" s="141">
        <v>6</v>
      </c>
      <c r="AA113" s="142" t="s">
        <v>270</v>
      </c>
      <c r="AB113" s="141">
        <v>1</v>
      </c>
      <c r="AC113" s="141" t="s">
        <v>8</v>
      </c>
      <c r="AD113" s="144">
        <f>AB113*'Daftar HPP'!$G$33</f>
        <v>100</v>
      </c>
      <c r="AF113" s="141">
        <v>6</v>
      </c>
      <c r="AG113" s="142" t="s">
        <v>270</v>
      </c>
      <c r="AH113" s="141">
        <v>1</v>
      </c>
      <c r="AI113" s="141" t="s">
        <v>8</v>
      </c>
      <c r="AJ113" s="144">
        <f>AH113*'Daftar HPP'!$G$33</f>
        <v>100</v>
      </c>
    </row>
    <row r="114" spans="2:36" x14ac:dyDescent="0.45">
      <c r="B114" s="141">
        <v>7</v>
      </c>
      <c r="C114" s="142" t="s">
        <v>251</v>
      </c>
      <c r="D114" s="141">
        <v>1</v>
      </c>
      <c r="E114" s="141" t="s">
        <v>28</v>
      </c>
      <c r="F114" s="144">
        <f>D114*'Daftar HPP'!$G$39</f>
        <v>1100</v>
      </c>
      <c r="H114" s="141">
        <v>7</v>
      </c>
      <c r="I114" s="142" t="s">
        <v>251</v>
      </c>
      <c r="J114" s="141">
        <v>1</v>
      </c>
      <c r="K114" s="141" t="s">
        <v>28</v>
      </c>
      <c r="L114" s="144">
        <f>J114*'Daftar HPP'!$G$39</f>
        <v>1100</v>
      </c>
      <c r="N114" s="141">
        <v>7</v>
      </c>
      <c r="O114" s="142" t="s">
        <v>251</v>
      </c>
      <c r="P114" s="141">
        <v>1</v>
      </c>
      <c r="Q114" s="141" t="s">
        <v>28</v>
      </c>
      <c r="R114" s="144">
        <f>P114*'Daftar HPP'!$G$39</f>
        <v>1100</v>
      </c>
      <c r="T114" s="141">
        <v>7</v>
      </c>
      <c r="U114" s="142" t="s">
        <v>251</v>
      </c>
      <c r="V114" s="141">
        <v>1</v>
      </c>
      <c r="W114" s="141" t="s">
        <v>28</v>
      </c>
      <c r="X114" s="144">
        <f>V114*'Daftar HPP'!$G$39</f>
        <v>1100</v>
      </c>
      <c r="Z114" s="141">
        <v>7</v>
      </c>
      <c r="AA114" s="142" t="s">
        <v>251</v>
      </c>
      <c r="AB114" s="141">
        <v>1</v>
      </c>
      <c r="AC114" s="141" t="s">
        <v>28</v>
      </c>
      <c r="AD114" s="144">
        <f>AB114*'Daftar HPP'!$G$39</f>
        <v>1100</v>
      </c>
      <c r="AF114" s="141">
        <v>7</v>
      </c>
      <c r="AG114" s="142" t="s">
        <v>251</v>
      </c>
      <c r="AH114" s="141">
        <v>1</v>
      </c>
      <c r="AI114" s="141" t="s">
        <v>28</v>
      </c>
      <c r="AJ114" s="144">
        <f>AH114*'Daftar HPP'!$G$39</f>
        <v>1100</v>
      </c>
    </row>
    <row r="115" spans="2:36" x14ac:dyDescent="0.45">
      <c r="B115" s="153"/>
      <c r="C115" s="150"/>
      <c r="D115" s="261" t="s">
        <v>53</v>
      </c>
      <c r="E115" s="261"/>
      <c r="F115" s="190">
        <f>SUM(F108:F114)</f>
        <v>19669.775528080241</v>
      </c>
      <c r="H115" s="153"/>
      <c r="I115" s="150"/>
      <c r="J115" s="261" t="s">
        <v>53</v>
      </c>
      <c r="K115" s="261"/>
      <c r="L115" s="190">
        <f>SUM(L108:L114)</f>
        <v>19722.166463342663</v>
      </c>
      <c r="N115" s="153"/>
      <c r="O115" s="150"/>
      <c r="P115" s="261" t="s">
        <v>53</v>
      </c>
      <c r="Q115" s="261"/>
      <c r="R115" s="190">
        <f>SUM(R108:R114)</f>
        <v>19372.326820457525</v>
      </c>
      <c r="T115" s="153"/>
      <c r="U115" s="150"/>
      <c r="V115" s="261" t="s">
        <v>53</v>
      </c>
      <c r="W115" s="261"/>
      <c r="X115" s="190">
        <f>SUM(X108:X114)</f>
        <v>30220.697204470409</v>
      </c>
      <c r="Z115" s="153"/>
      <c r="AA115" s="150"/>
      <c r="AB115" s="261" t="s">
        <v>53</v>
      </c>
      <c r="AC115" s="261"/>
      <c r="AD115" s="190">
        <f>SUM(AD108:AD114)</f>
        <v>30273.08813973283</v>
      </c>
      <c r="AF115" s="153"/>
      <c r="AG115" s="150"/>
      <c r="AH115" s="261" t="s">
        <v>53</v>
      </c>
      <c r="AI115" s="261"/>
      <c r="AJ115" s="190">
        <f>SUM(AJ108:AJ114)</f>
        <v>29923.248496847693</v>
      </c>
    </row>
    <row r="116" spans="2:36" x14ac:dyDescent="0.45">
      <c r="B116" s="153"/>
      <c r="C116" s="153"/>
      <c r="D116" s="256" t="s">
        <v>116</v>
      </c>
      <c r="E116" s="256"/>
      <c r="F116" s="147">
        <v>32000</v>
      </c>
      <c r="H116" s="153"/>
      <c r="I116" s="153"/>
      <c r="J116" s="256" t="s">
        <v>116</v>
      </c>
      <c r="K116" s="256"/>
      <c r="L116" s="147">
        <v>32000</v>
      </c>
      <c r="N116" s="153"/>
      <c r="O116" s="153"/>
      <c r="P116" s="256" t="s">
        <v>116</v>
      </c>
      <c r="Q116" s="256"/>
      <c r="R116" s="147">
        <v>32000</v>
      </c>
      <c r="T116" s="153"/>
      <c r="U116" s="153"/>
      <c r="V116" s="256" t="s">
        <v>116</v>
      </c>
      <c r="W116" s="256"/>
      <c r="X116" s="147">
        <v>49000</v>
      </c>
      <c r="Z116" s="153"/>
      <c r="AA116" s="153"/>
      <c r="AB116" s="256" t="s">
        <v>116</v>
      </c>
      <c r="AC116" s="256"/>
      <c r="AD116" s="147">
        <v>49000</v>
      </c>
      <c r="AF116" s="153"/>
      <c r="AG116" s="153"/>
      <c r="AH116" s="256" t="s">
        <v>116</v>
      </c>
      <c r="AI116" s="256"/>
      <c r="AJ116" s="147">
        <v>49000</v>
      </c>
    </row>
    <row r="117" spans="2:36" x14ac:dyDescent="0.45">
      <c r="B117" s="153"/>
      <c r="C117" s="153"/>
      <c r="D117" s="256" t="s">
        <v>119</v>
      </c>
      <c r="E117" s="256"/>
      <c r="F117" s="148">
        <f>F116-F115</f>
        <v>12330.224471919759</v>
      </c>
      <c r="H117" s="153"/>
      <c r="I117" s="153"/>
      <c r="J117" s="256" t="s">
        <v>119</v>
      </c>
      <c r="K117" s="256"/>
      <c r="L117" s="148">
        <f>L116-L115</f>
        <v>12277.833536657337</v>
      </c>
      <c r="N117" s="153"/>
      <c r="O117" s="153"/>
      <c r="P117" s="256" t="s">
        <v>119</v>
      </c>
      <c r="Q117" s="256"/>
      <c r="R117" s="148">
        <f>R116-R115</f>
        <v>12627.673179542475</v>
      </c>
      <c r="T117" s="153"/>
      <c r="U117" s="153"/>
      <c r="V117" s="256" t="s">
        <v>119</v>
      </c>
      <c r="W117" s="256"/>
      <c r="X117" s="148">
        <f>X116-X115</f>
        <v>18779.302795529591</v>
      </c>
      <c r="Z117" s="153"/>
      <c r="AA117" s="153"/>
      <c r="AB117" s="256" t="s">
        <v>119</v>
      </c>
      <c r="AC117" s="256"/>
      <c r="AD117" s="148">
        <f>AD116-AD115</f>
        <v>18726.91186026717</v>
      </c>
      <c r="AF117" s="153"/>
      <c r="AG117" s="153"/>
      <c r="AH117" s="256" t="s">
        <v>119</v>
      </c>
      <c r="AI117" s="256"/>
      <c r="AJ117" s="148">
        <f>AJ116-AJ115</f>
        <v>19076.751503152307</v>
      </c>
    </row>
    <row r="119" spans="2:36" ht="14.65" thickBot="1" x14ac:dyDescent="0.5">
      <c r="B119" s="2" t="s">
        <v>256</v>
      </c>
      <c r="H119" s="2" t="s">
        <v>260</v>
      </c>
      <c r="N119" s="2" t="s">
        <v>307</v>
      </c>
      <c r="T119" s="2" t="s">
        <v>256</v>
      </c>
      <c r="Z119" s="2" t="s">
        <v>260</v>
      </c>
      <c r="AF119" s="2" t="s">
        <v>307</v>
      </c>
    </row>
    <row r="120" spans="2:36" x14ac:dyDescent="0.45">
      <c r="B120" s="119" t="s">
        <v>0</v>
      </c>
      <c r="C120" s="119" t="s">
        <v>49</v>
      </c>
      <c r="D120" s="119" t="s">
        <v>34</v>
      </c>
      <c r="E120" s="119" t="s">
        <v>50</v>
      </c>
      <c r="F120" s="119" t="s">
        <v>36</v>
      </c>
      <c r="H120" s="119" t="s">
        <v>0</v>
      </c>
      <c r="I120" s="119" t="s">
        <v>49</v>
      </c>
      <c r="J120" s="119" t="s">
        <v>34</v>
      </c>
      <c r="K120" s="119" t="s">
        <v>50</v>
      </c>
      <c r="L120" s="119" t="s">
        <v>36</v>
      </c>
      <c r="N120" s="119" t="s">
        <v>0</v>
      </c>
      <c r="O120" s="119" t="s">
        <v>49</v>
      </c>
      <c r="P120" s="119" t="s">
        <v>34</v>
      </c>
      <c r="Q120" s="119" t="s">
        <v>50</v>
      </c>
      <c r="R120" s="119" t="s">
        <v>36</v>
      </c>
      <c r="T120" s="119" t="s">
        <v>0</v>
      </c>
      <c r="U120" s="119" t="s">
        <v>49</v>
      </c>
      <c r="V120" s="119" t="s">
        <v>34</v>
      </c>
      <c r="W120" s="119" t="s">
        <v>50</v>
      </c>
      <c r="X120" s="119" t="s">
        <v>36</v>
      </c>
      <c r="Z120" s="119" t="s">
        <v>0</v>
      </c>
      <c r="AA120" s="119" t="s">
        <v>49</v>
      </c>
      <c r="AB120" s="119" t="s">
        <v>34</v>
      </c>
      <c r="AC120" s="119" t="s">
        <v>50</v>
      </c>
      <c r="AD120" s="119" t="s">
        <v>36</v>
      </c>
      <c r="AF120" s="119" t="s">
        <v>0</v>
      </c>
      <c r="AG120" s="119" t="s">
        <v>49</v>
      </c>
      <c r="AH120" s="119" t="s">
        <v>34</v>
      </c>
      <c r="AI120" s="119" t="s">
        <v>50</v>
      </c>
      <c r="AJ120" s="119" t="s">
        <v>36</v>
      </c>
    </row>
    <row r="121" spans="2:36" x14ac:dyDescent="0.45">
      <c r="B121" s="141">
        <v>1</v>
      </c>
      <c r="C121" s="142" t="s">
        <v>112</v>
      </c>
      <c r="D121" s="141">
        <v>1</v>
      </c>
      <c r="E121" s="141" t="s">
        <v>6</v>
      </c>
      <c r="F121" s="143">
        <f>D121*'Daftar HPP'!$L$57</f>
        <v>4875.7315789473687</v>
      </c>
      <c r="H121" s="141">
        <v>1</v>
      </c>
      <c r="I121" s="142" t="s">
        <v>112</v>
      </c>
      <c r="J121" s="141">
        <v>1</v>
      </c>
      <c r="K121" s="141" t="s">
        <v>6</v>
      </c>
      <c r="L121" s="143">
        <f>J121*'Daftar HPP'!$L$57</f>
        <v>4875.7315789473687</v>
      </c>
      <c r="N121" s="141">
        <v>1</v>
      </c>
      <c r="O121" s="142" t="s">
        <v>112</v>
      </c>
      <c r="P121" s="141">
        <v>1</v>
      </c>
      <c r="Q121" s="141" t="s">
        <v>6</v>
      </c>
      <c r="R121" s="143">
        <f>P121*'Daftar HPP'!$L$57</f>
        <v>4875.7315789473687</v>
      </c>
      <c r="T121" s="141">
        <v>1</v>
      </c>
      <c r="U121" s="142" t="s">
        <v>112</v>
      </c>
      <c r="V121" s="141">
        <v>2</v>
      </c>
      <c r="W121" s="141" t="s">
        <v>6</v>
      </c>
      <c r="X121" s="143">
        <f>V121*'Daftar HPP'!$L$57</f>
        <v>9751.4631578947374</v>
      </c>
      <c r="Z121" s="141">
        <v>1</v>
      </c>
      <c r="AA121" s="142" t="s">
        <v>112</v>
      </c>
      <c r="AB121" s="141">
        <v>2</v>
      </c>
      <c r="AC121" s="141" t="s">
        <v>6</v>
      </c>
      <c r="AD121" s="143">
        <f>AB121*'Daftar HPP'!$L$57</f>
        <v>9751.4631578947374</v>
      </c>
      <c r="AF121" s="141">
        <v>1</v>
      </c>
      <c r="AG121" s="142" t="s">
        <v>112</v>
      </c>
      <c r="AH121" s="141">
        <v>2</v>
      </c>
      <c r="AI121" s="141" t="s">
        <v>6</v>
      </c>
      <c r="AJ121" s="143">
        <f>AH121*'Daftar HPP'!$L$57</f>
        <v>9751.4631578947374</v>
      </c>
    </row>
    <row r="122" spans="2:36" x14ac:dyDescent="0.45">
      <c r="B122" s="141">
        <v>2</v>
      </c>
      <c r="C122" s="142" t="s">
        <v>18</v>
      </c>
      <c r="D122" s="141">
        <v>40</v>
      </c>
      <c r="E122" s="141" t="s">
        <v>8</v>
      </c>
      <c r="F122" s="143">
        <f>D122*'Daftar HPP'!$F$123</f>
        <v>1845.2950558213715</v>
      </c>
      <c r="H122" s="141">
        <v>2</v>
      </c>
      <c r="I122" s="142" t="s">
        <v>18</v>
      </c>
      <c r="J122" s="141">
        <v>40</v>
      </c>
      <c r="K122" s="141" t="s">
        <v>8</v>
      </c>
      <c r="L122" s="143">
        <f>J122*'Daftar HPP'!$F$123</f>
        <v>1845.2950558213715</v>
      </c>
      <c r="N122" s="141">
        <v>2</v>
      </c>
      <c r="O122" s="142" t="s">
        <v>18</v>
      </c>
      <c r="P122" s="141">
        <v>40</v>
      </c>
      <c r="Q122" s="141" t="s">
        <v>8</v>
      </c>
      <c r="R122" s="143">
        <f>P122*'Daftar HPP'!$F$123</f>
        <v>1845.2950558213715</v>
      </c>
      <c r="T122" s="141">
        <v>2</v>
      </c>
      <c r="U122" s="142" t="s">
        <v>18</v>
      </c>
      <c r="V122" s="141">
        <v>80</v>
      </c>
      <c r="W122" s="141" t="s">
        <v>8</v>
      </c>
      <c r="X122" s="143">
        <f>V122*'Daftar HPP'!$F$123</f>
        <v>3690.5901116427431</v>
      </c>
      <c r="Z122" s="141">
        <v>2</v>
      </c>
      <c r="AA122" s="142" t="s">
        <v>18</v>
      </c>
      <c r="AB122" s="141">
        <v>80</v>
      </c>
      <c r="AC122" s="141" t="s">
        <v>8</v>
      </c>
      <c r="AD122" s="143">
        <f>AB122*'Daftar HPP'!$F$123</f>
        <v>3690.5901116427431</v>
      </c>
      <c r="AF122" s="141">
        <v>2</v>
      </c>
      <c r="AG122" s="142" t="s">
        <v>18</v>
      </c>
      <c r="AH122" s="141">
        <v>80</v>
      </c>
      <c r="AI122" s="141" t="s">
        <v>8</v>
      </c>
      <c r="AJ122" s="143">
        <f>AH122*'Daftar HPP'!$F$123</f>
        <v>3690.5901116427431</v>
      </c>
    </row>
    <row r="123" spans="2:36" x14ac:dyDescent="0.45">
      <c r="B123" s="141">
        <v>3</v>
      </c>
      <c r="C123" s="142" t="s">
        <v>254</v>
      </c>
      <c r="D123" s="141">
        <v>1</v>
      </c>
      <c r="E123" s="141" t="s">
        <v>118</v>
      </c>
      <c r="F123" s="143">
        <f>D123*'Daftar HPP'!$F$105</f>
        <v>7659.7900832428531</v>
      </c>
      <c r="H123" s="141">
        <v>3</v>
      </c>
      <c r="I123" s="142" t="s">
        <v>254</v>
      </c>
      <c r="J123" s="141">
        <v>1</v>
      </c>
      <c r="K123" s="141" t="s">
        <v>118</v>
      </c>
      <c r="L123" s="143">
        <f>J123*'Daftar HPP'!$F$105</f>
        <v>7659.7900832428531</v>
      </c>
      <c r="N123" s="141">
        <v>3</v>
      </c>
      <c r="O123" s="142" t="s">
        <v>254</v>
      </c>
      <c r="P123" s="141">
        <v>1</v>
      </c>
      <c r="Q123" s="141" t="s">
        <v>118</v>
      </c>
      <c r="R123" s="143">
        <f>P123*'Daftar HPP'!$F$105</f>
        <v>7659.7900832428531</v>
      </c>
      <c r="T123" s="141">
        <v>3</v>
      </c>
      <c r="U123" s="142" t="s">
        <v>269</v>
      </c>
      <c r="V123" s="141">
        <v>1</v>
      </c>
      <c r="W123" s="141" t="s">
        <v>118</v>
      </c>
      <c r="X123" s="143">
        <f>V123*'Daftar HPP'!$L$96</f>
        <v>11489.68512486428</v>
      </c>
      <c r="Z123" s="141">
        <v>3</v>
      </c>
      <c r="AA123" s="142" t="s">
        <v>269</v>
      </c>
      <c r="AB123" s="141">
        <v>1</v>
      </c>
      <c r="AC123" s="141" t="s">
        <v>118</v>
      </c>
      <c r="AD123" s="143">
        <f>AB123*'Daftar HPP'!$L$96</f>
        <v>11489.68512486428</v>
      </c>
      <c r="AF123" s="141">
        <v>3</v>
      </c>
      <c r="AG123" s="142" t="s">
        <v>269</v>
      </c>
      <c r="AH123" s="141">
        <v>1</v>
      </c>
      <c r="AI123" s="141" t="s">
        <v>118</v>
      </c>
      <c r="AJ123" s="143">
        <f>AH123*'Daftar HPP'!$L$96</f>
        <v>11489.68512486428</v>
      </c>
    </row>
    <row r="124" spans="2:36" x14ac:dyDescent="0.45">
      <c r="B124" s="141">
        <v>4</v>
      </c>
      <c r="C124" s="142" t="s">
        <v>17</v>
      </c>
      <c r="D124" s="141">
        <v>30</v>
      </c>
      <c r="E124" s="141" t="s">
        <v>8</v>
      </c>
      <c r="F124" s="144">
        <f>D124*'Daftar HPP'!$F$152</f>
        <v>2093.9588100686497</v>
      </c>
      <c r="H124" s="141">
        <v>4</v>
      </c>
      <c r="I124" s="142" t="s">
        <v>25</v>
      </c>
      <c r="J124" s="141">
        <v>30</v>
      </c>
      <c r="K124" s="141" t="s">
        <v>8</v>
      </c>
      <c r="L124" s="144">
        <f>J124*'Daftar HPP'!$G$22</f>
        <v>1995</v>
      </c>
      <c r="N124" s="141">
        <v>4</v>
      </c>
      <c r="O124" s="142" t="s">
        <v>107</v>
      </c>
      <c r="P124" s="141">
        <v>30</v>
      </c>
      <c r="Q124" s="141" t="s">
        <v>8</v>
      </c>
      <c r="R124" s="144">
        <f>P124*'Daftar HPP'!$L$152</f>
        <v>2144.1036802532649</v>
      </c>
      <c r="T124" s="141">
        <v>4</v>
      </c>
      <c r="U124" s="142" t="s">
        <v>17</v>
      </c>
      <c r="V124" s="141">
        <v>30</v>
      </c>
      <c r="W124" s="141" t="s">
        <v>8</v>
      </c>
      <c r="X124" s="144">
        <f>V124*'Daftar HPP'!$F$152</f>
        <v>2093.9588100686497</v>
      </c>
      <c r="Z124" s="141">
        <v>4</v>
      </c>
      <c r="AA124" s="142" t="s">
        <v>25</v>
      </c>
      <c r="AB124" s="141">
        <v>30</v>
      </c>
      <c r="AC124" s="141" t="s">
        <v>8</v>
      </c>
      <c r="AD124" s="144">
        <f>AB124*'Daftar HPP'!$G$22</f>
        <v>1995</v>
      </c>
      <c r="AF124" s="141">
        <v>4</v>
      </c>
      <c r="AG124" s="142" t="s">
        <v>107</v>
      </c>
      <c r="AH124" s="141">
        <v>30</v>
      </c>
      <c r="AI124" s="141" t="s">
        <v>8</v>
      </c>
      <c r="AJ124" s="144">
        <f>AH124*'Daftar HPP'!$L$152</f>
        <v>2144.1036802532649</v>
      </c>
    </row>
    <row r="125" spans="2:36" x14ac:dyDescent="0.45">
      <c r="B125" s="141">
        <v>5</v>
      </c>
      <c r="C125" s="142" t="s">
        <v>105</v>
      </c>
      <c r="D125" s="141">
        <v>30</v>
      </c>
      <c r="E125" s="141" t="s">
        <v>8</v>
      </c>
      <c r="F125" s="144">
        <f>D125*'Daftar HPP'!$F$143</f>
        <v>2146.3497453310692</v>
      </c>
      <c r="H125" s="141">
        <v>5</v>
      </c>
      <c r="I125" s="142" t="s">
        <v>107</v>
      </c>
      <c r="J125" s="141">
        <v>30</v>
      </c>
      <c r="K125" s="141" t="s">
        <v>8</v>
      </c>
      <c r="L125" s="144">
        <f>J125*'Daftar HPP'!$L$152</f>
        <v>2144.1036802532649</v>
      </c>
      <c r="N125" s="141">
        <v>5</v>
      </c>
      <c r="O125" s="142" t="s">
        <v>26</v>
      </c>
      <c r="P125" s="141">
        <v>30</v>
      </c>
      <c r="Q125" s="141" t="s">
        <v>8</v>
      </c>
      <c r="R125" s="144">
        <f>P125*'Daftar HPP'!$L$143</f>
        <v>1647.4064221926658</v>
      </c>
      <c r="T125" s="141">
        <v>5</v>
      </c>
      <c r="U125" s="142" t="s">
        <v>105</v>
      </c>
      <c r="V125" s="141">
        <v>30</v>
      </c>
      <c r="W125" s="141" t="s">
        <v>8</v>
      </c>
      <c r="X125" s="144">
        <f>V125*'Daftar HPP'!$F$143</f>
        <v>2146.3497453310692</v>
      </c>
      <c r="Z125" s="141">
        <v>5</v>
      </c>
      <c r="AA125" s="142" t="s">
        <v>107</v>
      </c>
      <c r="AB125" s="141">
        <v>30</v>
      </c>
      <c r="AC125" s="141" t="s">
        <v>8</v>
      </c>
      <c r="AD125" s="144">
        <f>AB125*'Daftar HPP'!$L$152</f>
        <v>2144.1036802532649</v>
      </c>
      <c r="AF125" s="141">
        <v>5</v>
      </c>
      <c r="AG125" s="142" t="s">
        <v>26</v>
      </c>
      <c r="AH125" s="141">
        <v>30</v>
      </c>
      <c r="AI125" s="141" t="s">
        <v>8</v>
      </c>
      <c r="AJ125" s="144">
        <f>AH125*'Daftar HPP'!$L$143</f>
        <v>1647.4064221926658</v>
      </c>
    </row>
    <row r="126" spans="2:36" x14ac:dyDescent="0.45">
      <c r="B126" s="141">
        <v>6</v>
      </c>
      <c r="C126" s="142" t="s">
        <v>270</v>
      </c>
      <c r="D126" s="141">
        <v>1</v>
      </c>
      <c r="E126" s="141" t="s">
        <v>8</v>
      </c>
      <c r="F126" s="144">
        <f>D126*'Daftar HPP'!$G$33</f>
        <v>100</v>
      </c>
      <c r="H126" s="141">
        <v>6</v>
      </c>
      <c r="I126" s="142" t="s">
        <v>270</v>
      </c>
      <c r="J126" s="141">
        <v>1</v>
      </c>
      <c r="K126" s="141" t="s">
        <v>8</v>
      </c>
      <c r="L126" s="144">
        <f>J126*'Daftar HPP'!$G$33</f>
        <v>100</v>
      </c>
      <c r="N126" s="141">
        <v>6</v>
      </c>
      <c r="O126" s="142" t="s">
        <v>270</v>
      </c>
      <c r="P126" s="141">
        <v>1</v>
      </c>
      <c r="Q126" s="141" t="s">
        <v>8</v>
      </c>
      <c r="R126" s="144">
        <f>P126*'Daftar HPP'!$G$33</f>
        <v>100</v>
      </c>
      <c r="T126" s="141">
        <v>6</v>
      </c>
      <c r="U126" s="142" t="s">
        <v>270</v>
      </c>
      <c r="V126" s="141">
        <v>1</v>
      </c>
      <c r="W126" s="141" t="s">
        <v>8</v>
      </c>
      <c r="X126" s="144">
        <f>V126*'Daftar HPP'!$G$33</f>
        <v>100</v>
      </c>
      <c r="Z126" s="141">
        <v>6</v>
      </c>
      <c r="AA126" s="142" t="s">
        <v>270</v>
      </c>
      <c r="AB126" s="141">
        <v>1</v>
      </c>
      <c r="AC126" s="141" t="s">
        <v>8</v>
      </c>
      <c r="AD126" s="144">
        <f>AB126*'Daftar HPP'!$G$33</f>
        <v>100</v>
      </c>
      <c r="AF126" s="141">
        <v>6</v>
      </c>
      <c r="AG126" s="142" t="s">
        <v>270</v>
      </c>
      <c r="AH126" s="141">
        <v>1</v>
      </c>
      <c r="AI126" s="141" t="s">
        <v>8</v>
      </c>
      <c r="AJ126" s="144">
        <f>AH126*'Daftar HPP'!$G$33</f>
        <v>100</v>
      </c>
    </row>
    <row r="127" spans="2:36" x14ac:dyDescent="0.45">
      <c r="B127" s="141">
        <v>7</v>
      </c>
      <c r="C127" s="142" t="s">
        <v>251</v>
      </c>
      <c r="D127" s="141">
        <v>1</v>
      </c>
      <c r="E127" s="141" t="s">
        <v>28</v>
      </c>
      <c r="F127" s="144">
        <f>D127*'Daftar HPP'!$G$39</f>
        <v>1100</v>
      </c>
      <c r="H127" s="141">
        <v>7</v>
      </c>
      <c r="I127" s="142" t="s">
        <v>251</v>
      </c>
      <c r="J127" s="141">
        <v>1</v>
      </c>
      <c r="K127" s="141" t="s">
        <v>28</v>
      </c>
      <c r="L127" s="144">
        <f>J127*'Daftar HPP'!$G$39</f>
        <v>1100</v>
      </c>
      <c r="N127" s="141">
        <v>7</v>
      </c>
      <c r="O127" s="142" t="s">
        <v>251</v>
      </c>
      <c r="P127" s="141">
        <v>1</v>
      </c>
      <c r="Q127" s="141" t="s">
        <v>28</v>
      </c>
      <c r="R127" s="144">
        <f>P127*'Daftar HPP'!$G$39</f>
        <v>1100</v>
      </c>
      <c r="T127" s="141">
        <v>7</v>
      </c>
      <c r="U127" s="142" t="s">
        <v>251</v>
      </c>
      <c r="V127" s="141">
        <v>1</v>
      </c>
      <c r="W127" s="141" t="s">
        <v>28</v>
      </c>
      <c r="X127" s="144">
        <f>V127*'Daftar HPP'!$G$39</f>
        <v>1100</v>
      </c>
      <c r="Z127" s="141">
        <v>7</v>
      </c>
      <c r="AA127" s="142" t="s">
        <v>251</v>
      </c>
      <c r="AB127" s="141">
        <v>1</v>
      </c>
      <c r="AC127" s="141" t="s">
        <v>28</v>
      </c>
      <c r="AD127" s="144">
        <f>AB127*'Daftar HPP'!$G$39</f>
        <v>1100</v>
      </c>
      <c r="AF127" s="141">
        <v>7</v>
      </c>
      <c r="AG127" s="142" t="s">
        <v>251</v>
      </c>
      <c r="AH127" s="141">
        <v>1</v>
      </c>
      <c r="AI127" s="141" t="s">
        <v>28</v>
      </c>
      <c r="AJ127" s="144">
        <f>AH127*'Daftar HPP'!$G$39</f>
        <v>1100</v>
      </c>
    </row>
    <row r="128" spans="2:36" x14ac:dyDescent="0.45">
      <c r="B128" s="153"/>
      <c r="C128" s="150"/>
      <c r="D128" s="261" t="s">
        <v>53</v>
      </c>
      <c r="E128" s="261"/>
      <c r="F128" s="190">
        <f>SUM(F121:F127)</f>
        <v>19821.125273411311</v>
      </c>
      <c r="H128" s="153"/>
      <c r="I128" s="150"/>
      <c r="J128" s="261" t="s">
        <v>53</v>
      </c>
      <c r="K128" s="261"/>
      <c r="L128" s="190">
        <f>SUM(L121:L127)</f>
        <v>19719.920398264858</v>
      </c>
      <c r="N128" s="153"/>
      <c r="O128" s="150"/>
      <c r="P128" s="261" t="s">
        <v>53</v>
      </c>
      <c r="Q128" s="261"/>
      <c r="R128" s="190">
        <f>SUM(R121:R127)</f>
        <v>19372.326820457525</v>
      </c>
      <c r="T128" s="153"/>
      <c r="U128" s="150"/>
      <c r="V128" s="261" t="s">
        <v>53</v>
      </c>
      <c r="W128" s="261"/>
      <c r="X128" s="190">
        <f>SUM(X121:X127)</f>
        <v>30372.046949801479</v>
      </c>
      <c r="Z128" s="153"/>
      <c r="AA128" s="150"/>
      <c r="AB128" s="261" t="s">
        <v>53</v>
      </c>
      <c r="AC128" s="261"/>
      <c r="AD128" s="190">
        <f>SUM(AD121:AD127)</f>
        <v>30270.842074655025</v>
      </c>
      <c r="AF128" s="153"/>
      <c r="AG128" s="150"/>
      <c r="AH128" s="261" t="s">
        <v>53</v>
      </c>
      <c r="AI128" s="261"/>
      <c r="AJ128" s="190">
        <f>SUM(AJ121:AJ127)</f>
        <v>29923.248496847693</v>
      </c>
    </row>
    <row r="129" spans="2:36" x14ac:dyDescent="0.45">
      <c r="B129" s="153"/>
      <c r="C129" s="153"/>
      <c r="D129" s="256" t="s">
        <v>116</v>
      </c>
      <c r="E129" s="256"/>
      <c r="F129" s="147">
        <v>32000</v>
      </c>
      <c r="H129" s="153"/>
      <c r="I129" s="153"/>
      <c r="J129" s="256" t="s">
        <v>116</v>
      </c>
      <c r="K129" s="256"/>
      <c r="L129" s="147">
        <v>32000</v>
      </c>
      <c r="N129" s="153"/>
      <c r="O129" s="153"/>
      <c r="P129" s="256" t="s">
        <v>116</v>
      </c>
      <c r="Q129" s="256"/>
      <c r="R129" s="147">
        <v>32000</v>
      </c>
      <c r="T129" s="153"/>
      <c r="U129" s="153"/>
      <c r="V129" s="256" t="s">
        <v>116</v>
      </c>
      <c r="W129" s="256"/>
      <c r="X129" s="147">
        <v>49000</v>
      </c>
      <c r="Z129" s="153"/>
      <c r="AA129" s="153"/>
      <c r="AB129" s="256" t="s">
        <v>116</v>
      </c>
      <c r="AC129" s="256"/>
      <c r="AD129" s="147">
        <v>49000</v>
      </c>
      <c r="AF129" s="153"/>
      <c r="AG129" s="153"/>
      <c r="AH129" s="256" t="s">
        <v>116</v>
      </c>
      <c r="AI129" s="256"/>
      <c r="AJ129" s="147">
        <v>49000</v>
      </c>
    </row>
    <row r="130" spans="2:36" x14ac:dyDescent="0.45">
      <c r="B130" s="153"/>
      <c r="C130" s="153"/>
      <c r="D130" s="256" t="s">
        <v>119</v>
      </c>
      <c r="E130" s="256"/>
      <c r="F130" s="148">
        <f>F129-F128</f>
        <v>12178.874726588689</v>
      </c>
      <c r="H130" s="153"/>
      <c r="I130" s="153"/>
      <c r="J130" s="256" t="s">
        <v>119</v>
      </c>
      <c r="K130" s="256"/>
      <c r="L130" s="148">
        <f>L129-L128</f>
        <v>12280.079601735142</v>
      </c>
      <c r="N130" s="153"/>
      <c r="O130" s="153"/>
      <c r="P130" s="256" t="s">
        <v>119</v>
      </c>
      <c r="Q130" s="256"/>
      <c r="R130" s="148">
        <f>R129-R128</f>
        <v>12627.673179542475</v>
      </c>
      <c r="T130" s="153"/>
      <c r="U130" s="153"/>
      <c r="V130" s="256" t="s">
        <v>119</v>
      </c>
      <c r="W130" s="256"/>
      <c r="X130" s="148">
        <f>X129-X128</f>
        <v>18627.953050198521</v>
      </c>
      <c r="Z130" s="153"/>
      <c r="AA130" s="153"/>
      <c r="AB130" s="256" t="s">
        <v>119</v>
      </c>
      <c r="AC130" s="256"/>
      <c r="AD130" s="148">
        <f>AD129-AD128</f>
        <v>18729.157925344975</v>
      </c>
      <c r="AF130" s="153"/>
      <c r="AG130" s="153"/>
      <c r="AH130" s="256" t="s">
        <v>119</v>
      </c>
      <c r="AI130" s="256"/>
      <c r="AJ130" s="148">
        <f>AJ129-AJ128</f>
        <v>19076.751503152307</v>
      </c>
    </row>
    <row r="132" spans="2:36" ht="14.65" thickBot="1" x14ac:dyDescent="0.5">
      <c r="B132" s="2" t="s">
        <v>257</v>
      </c>
      <c r="H132" s="2" t="s">
        <v>261</v>
      </c>
      <c r="T132" s="2" t="s">
        <v>257</v>
      </c>
      <c r="Z132" s="2" t="s">
        <v>261</v>
      </c>
    </row>
    <row r="133" spans="2:36" x14ac:dyDescent="0.45">
      <c r="B133" s="119" t="s">
        <v>0</v>
      </c>
      <c r="C133" s="119" t="s">
        <v>49</v>
      </c>
      <c r="D133" s="119" t="s">
        <v>34</v>
      </c>
      <c r="E133" s="119" t="s">
        <v>50</v>
      </c>
      <c r="F133" s="119" t="s">
        <v>36</v>
      </c>
      <c r="H133" s="119" t="s">
        <v>0</v>
      </c>
      <c r="I133" s="119" t="s">
        <v>49</v>
      </c>
      <c r="J133" s="119" t="s">
        <v>34</v>
      </c>
      <c r="K133" s="119" t="s">
        <v>50</v>
      </c>
      <c r="L133" s="119" t="s">
        <v>36</v>
      </c>
      <c r="T133" s="119" t="s">
        <v>0</v>
      </c>
      <c r="U133" s="119" t="s">
        <v>49</v>
      </c>
      <c r="V133" s="119" t="s">
        <v>34</v>
      </c>
      <c r="W133" s="119" t="s">
        <v>50</v>
      </c>
      <c r="X133" s="119" t="s">
        <v>36</v>
      </c>
      <c r="Z133" s="119" t="s">
        <v>0</v>
      </c>
      <c r="AA133" s="119" t="s">
        <v>49</v>
      </c>
      <c r="AB133" s="119" t="s">
        <v>34</v>
      </c>
      <c r="AC133" s="119" t="s">
        <v>50</v>
      </c>
      <c r="AD133" s="119" t="s">
        <v>36</v>
      </c>
    </row>
    <row r="134" spans="2:36" x14ac:dyDescent="0.45">
      <c r="B134" s="141">
        <v>1</v>
      </c>
      <c r="C134" s="142" t="s">
        <v>112</v>
      </c>
      <c r="D134" s="141">
        <v>1</v>
      </c>
      <c r="E134" s="141" t="s">
        <v>6</v>
      </c>
      <c r="F134" s="143">
        <f>D134*'Daftar HPP'!$L$57</f>
        <v>4875.7315789473687</v>
      </c>
      <c r="H134" s="141">
        <v>1</v>
      </c>
      <c r="I134" s="142" t="s">
        <v>112</v>
      </c>
      <c r="J134" s="141">
        <v>1</v>
      </c>
      <c r="K134" s="141" t="s">
        <v>6</v>
      </c>
      <c r="L134" s="143">
        <f>J134*'Daftar HPP'!$L$57</f>
        <v>4875.7315789473687</v>
      </c>
      <c r="T134" s="141">
        <v>1</v>
      </c>
      <c r="U134" s="142" t="s">
        <v>112</v>
      </c>
      <c r="V134" s="141">
        <v>2</v>
      </c>
      <c r="W134" s="141" t="s">
        <v>6</v>
      </c>
      <c r="X134" s="143">
        <f>V134*'Daftar HPP'!$L$57</f>
        <v>9751.4631578947374</v>
      </c>
      <c r="Z134" s="141">
        <v>1</v>
      </c>
      <c r="AA134" s="142" t="s">
        <v>112</v>
      </c>
      <c r="AB134" s="141">
        <v>2</v>
      </c>
      <c r="AC134" s="141" t="s">
        <v>6</v>
      </c>
      <c r="AD134" s="143">
        <f>AB134*'Daftar HPP'!$L$57</f>
        <v>9751.4631578947374</v>
      </c>
    </row>
    <row r="135" spans="2:36" x14ac:dyDescent="0.45">
      <c r="B135" s="141">
        <v>2</v>
      </c>
      <c r="C135" s="142" t="s">
        <v>18</v>
      </c>
      <c r="D135" s="141">
        <v>40</v>
      </c>
      <c r="E135" s="141" t="s">
        <v>8</v>
      </c>
      <c r="F135" s="143">
        <f>D135*'Daftar HPP'!$F$123</f>
        <v>1845.2950558213715</v>
      </c>
      <c r="H135" s="141">
        <v>2</v>
      </c>
      <c r="I135" s="142" t="s">
        <v>18</v>
      </c>
      <c r="J135" s="141">
        <v>40</v>
      </c>
      <c r="K135" s="141" t="s">
        <v>8</v>
      </c>
      <c r="L135" s="143">
        <f>J135*'Daftar HPP'!$F$123</f>
        <v>1845.2950558213715</v>
      </c>
      <c r="T135" s="141">
        <v>2</v>
      </c>
      <c r="U135" s="142" t="s">
        <v>18</v>
      </c>
      <c r="V135" s="141">
        <v>80</v>
      </c>
      <c r="W135" s="141" t="s">
        <v>8</v>
      </c>
      <c r="X135" s="143">
        <f>V135*'Daftar HPP'!$F$123</f>
        <v>3690.5901116427431</v>
      </c>
      <c r="Z135" s="141">
        <v>2</v>
      </c>
      <c r="AA135" s="142" t="s">
        <v>18</v>
      </c>
      <c r="AB135" s="141">
        <v>80</v>
      </c>
      <c r="AC135" s="141" t="s">
        <v>8</v>
      </c>
      <c r="AD135" s="143">
        <f>AB135*'Daftar HPP'!$F$123</f>
        <v>3690.5901116427431</v>
      </c>
    </row>
    <row r="136" spans="2:36" x14ac:dyDescent="0.45">
      <c r="B136" s="141">
        <v>3</v>
      </c>
      <c r="C136" s="142" t="s">
        <v>254</v>
      </c>
      <c r="D136" s="141">
        <v>1</v>
      </c>
      <c r="E136" s="141" t="s">
        <v>118</v>
      </c>
      <c r="F136" s="143">
        <f>D136*'Daftar HPP'!$F$105</f>
        <v>7659.7900832428531</v>
      </c>
      <c r="H136" s="141">
        <v>3</v>
      </c>
      <c r="I136" s="142" t="s">
        <v>254</v>
      </c>
      <c r="J136" s="141">
        <v>1</v>
      </c>
      <c r="K136" s="141" t="s">
        <v>118</v>
      </c>
      <c r="L136" s="143">
        <f>J136*'Daftar HPP'!$F$105</f>
        <v>7659.7900832428531</v>
      </c>
      <c r="T136" s="141">
        <v>3</v>
      </c>
      <c r="U136" s="142" t="s">
        <v>269</v>
      </c>
      <c r="V136" s="141">
        <v>1</v>
      </c>
      <c r="W136" s="141" t="s">
        <v>118</v>
      </c>
      <c r="X136" s="143">
        <f>V136*'Daftar HPP'!$L$96</f>
        <v>11489.68512486428</v>
      </c>
      <c r="Z136" s="141">
        <v>3</v>
      </c>
      <c r="AA136" s="142" t="s">
        <v>269</v>
      </c>
      <c r="AB136" s="141">
        <v>1</v>
      </c>
      <c r="AC136" s="141" t="s">
        <v>118</v>
      </c>
      <c r="AD136" s="143">
        <f>AB136*'Daftar HPP'!$L$96</f>
        <v>11489.68512486428</v>
      </c>
    </row>
    <row r="137" spans="2:36" x14ac:dyDescent="0.45">
      <c r="B137" s="141">
        <v>4</v>
      </c>
      <c r="C137" s="142" t="s">
        <v>17</v>
      </c>
      <c r="D137" s="141">
        <v>30</v>
      </c>
      <c r="E137" s="141" t="s">
        <v>8</v>
      </c>
      <c r="F137" s="144">
        <f>D137*'Daftar HPP'!$F$152</f>
        <v>2093.9588100686497</v>
      </c>
      <c r="H137" s="141">
        <v>4</v>
      </c>
      <c r="I137" s="142" t="s">
        <v>25</v>
      </c>
      <c r="J137" s="141">
        <v>30</v>
      </c>
      <c r="K137" s="141" t="s">
        <v>8</v>
      </c>
      <c r="L137" s="144">
        <f>J137*'Daftar HPP'!$G$22</f>
        <v>1995</v>
      </c>
      <c r="T137" s="141">
        <v>4</v>
      </c>
      <c r="U137" s="142" t="s">
        <v>17</v>
      </c>
      <c r="V137" s="141">
        <v>30</v>
      </c>
      <c r="W137" s="141" t="s">
        <v>8</v>
      </c>
      <c r="X137" s="144">
        <f>V137*'Daftar HPP'!$F$152</f>
        <v>2093.9588100686497</v>
      </c>
      <c r="Z137" s="141">
        <v>4</v>
      </c>
      <c r="AA137" s="142" t="s">
        <v>25</v>
      </c>
      <c r="AB137" s="141">
        <v>30</v>
      </c>
      <c r="AC137" s="141" t="s">
        <v>8</v>
      </c>
      <c r="AD137" s="144">
        <f>AB137*'Daftar HPP'!$G$22</f>
        <v>1995</v>
      </c>
    </row>
    <row r="138" spans="2:36" x14ac:dyDescent="0.45">
      <c r="B138" s="141">
        <v>5</v>
      </c>
      <c r="C138" s="142" t="s">
        <v>107</v>
      </c>
      <c r="D138" s="141">
        <v>30</v>
      </c>
      <c r="E138" s="141" t="s">
        <v>8</v>
      </c>
      <c r="F138" s="144">
        <f>D138*'Daftar HPP'!$L$152</f>
        <v>2144.1036802532649</v>
      </c>
      <c r="H138" s="141">
        <v>5</v>
      </c>
      <c r="I138" s="142" t="s">
        <v>26</v>
      </c>
      <c r="J138" s="141">
        <v>30</v>
      </c>
      <c r="K138" s="141" t="s">
        <v>8</v>
      </c>
      <c r="L138" s="144">
        <f>J138*'Daftar HPP'!$L$143</f>
        <v>1647.4064221926658</v>
      </c>
      <c r="T138" s="141">
        <v>5</v>
      </c>
      <c r="U138" s="142" t="s">
        <v>107</v>
      </c>
      <c r="V138" s="141">
        <v>30</v>
      </c>
      <c r="W138" s="141" t="s">
        <v>8</v>
      </c>
      <c r="X138" s="144">
        <f>V138*'Daftar HPP'!$L$152</f>
        <v>2144.1036802532649</v>
      </c>
      <c r="Z138" s="141">
        <v>5</v>
      </c>
      <c r="AA138" s="142" t="s">
        <v>26</v>
      </c>
      <c r="AB138" s="141">
        <v>30</v>
      </c>
      <c r="AC138" s="141" t="s">
        <v>8</v>
      </c>
      <c r="AD138" s="144">
        <f>AB138*'Daftar HPP'!$L$143</f>
        <v>1647.4064221926658</v>
      </c>
    </row>
    <row r="139" spans="2:36" x14ac:dyDescent="0.45">
      <c r="B139" s="141">
        <v>6</v>
      </c>
      <c r="C139" s="142" t="s">
        <v>270</v>
      </c>
      <c r="D139" s="141">
        <v>1</v>
      </c>
      <c r="E139" s="141" t="s">
        <v>8</v>
      </c>
      <c r="F139" s="144">
        <f>D139*'Daftar HPP'!$G$33</f>
        <v>100</v>
      </c>
      <c r="H139" s="141">
        <v>6</v>
      </c>
      <c r="I139" s="142" t="s">
        <v>270</v>
      </c>
      <c r="J139" s="141">
        <v>1</v>
      </c>
      <c r="K139" s="141" t="s">
        <v>8</v>
      </c>
      <c r="L139" s="144">
        <f>J139*'Daftar HPP'!$G$33</f>
        <v>100</v>
      </c>
      <c r="T139" s="141">
        <v>6</v>
      </c>
      <c r="U139" s="142" t="s">
        <v>270</v>
      </c>
      <c r="V139" s="141">
        <v>1</v>
      </c>
      <c r="W139" s="141" t="s">
        <v>8</v>
      </c>
      <c r="X139" s="144">
        <f>V139*'Daftar HPP'!$G$33</f>
        <v>100</v>
      </c>
      <c r="Z139" s="141">
        <v>6</v>
      </c>
      <c r="AA139" s="142" t="s">
        <v>270</v>
      </c>
      <c r="AB139" s="141">
        <v>1</v>
      </c>
      <c r="AC139" s="141" t="s">
        <v>8</v>
      </c>
      <c r="AD139" s="144">
        <f>AB139*'Daftar HPP'!$G$33</f>
        <v>100</v>
      </c>
    </row>
    <row r="140" spans="2:36" x14ac:dyDescent="0.45">
      <c r="B140" s="141">
        <v>7</v>
      </c>
      <c r="C140" s="142" t="s">
        <v>251</v>
      </c>
      <c r="D140" s="141">
        <v>1</v>
      </c>
      <c r="E140" s="141" t="s">
        <v>28</v>
      </c>
      <c r="F140" s="144">
        <f>D140*'Daftar HPP'!$G$39</f>
        <v>1100</v>
      </c>
      <c r="H140" s="141">
        <v>7</v>
      </c>
      <c r="I140" s="142" t="s">
        <v>251</v>
      </c>
      <c r="J140" s="141">
        <v>1</v>
      </c>
      <c r="K140" s="141" t="s">
        <v>28</v>
      </c>
      <c r="L140" s="144">
        <f>J140*'Daftar HPP'!$G$39</f>
        <v>1100</v>
      </c>
      <c r="T140" s="141">
        <v>7</v>
      </c>
      <c r="U140" s="142" t="s">
        <v>251</v>
      </c>
      <c r="V140" s="141">
        <v>1</v>
      </c>
      <c r="W140" s="141" t="s">
        <v>28</v>
      </c>
      <c r="X140" s="144">
        <f>V140*'Daftar HPP'!$G$39</f>
        <v>1100</v>
      </c>
      <c r="Z140" s="141">
        <v>7</v>
      </c>
      <c r="AA140" s="142" t="s">
        <v>251</v>
      </c>
      <c r="AB140" s="141">
        <v>1</v>
      </c>
      <c r="AC140" s="141" t="s">
        <v>28</v>
      </c>
      <c r="AD140" s="144">
        <f>AB140*'Daftar HPP'!$G$39</f>
        <v>1100</v>
      </c>
    </row>
    <row r="141" spans="2:36" x14ac:dyDescent="0.45">
      <c r="B141" s="153"/>
      <c r="C141" s="150"/>
      <c r="D141" s="261" t="s">
        <v>53</v>
      </c>
      <c r="E141" s="261"/>
      <c r="F141" s="190">
        <f>SUM(F134:F140)</f>
        <v>19818.879208333507</v>
      </c>
      <c r="H141" s="153"/>
      <c r="I141" s="150"/>
      <c r="J141" s="257" t="s">
        <v>53</v>
      </c>
      <c r="K141" s="258"/>
      <c r="L141" s="190">
        <f>SUM(L134:L140)</f>
        <v>19223.22314020426</v>
      </c>
      <c r="T141" s="153"/>
      <c r="U141" s="150"/>
      <c r="V141" s="261" t="s">
        <v>53</v>
      </c>
      <c r="W141" s="261"/>
      <c r="X141" s="190">
        <f>SUM(X134:X140)</f>
        <v>30369.800884723674</v>
      </c>
      <c r="Z141" s="153"/>
      <c r="AA141" s="150"/>
      <c r="AB141" s="257" t="s">
        <v>53</v>
      </c>
      <c r="AC141" s="258"/>
      <c r="AD141" s="190">
        <f>SUM(AD134:AD140)</f>
        <v>29774.144816594428</v>
      </c>
    </row>
    <row r="142" spans="2:36" x14ac:dyDescent="0.45">
      <c r="B142" s="153"/>
      <c r="C142" s="153"/>
      <c r="D142" s="256" t="s">
        <v>116</v>
      </c>
      <c r="E142" s="256"/>
      <c r="F142" s="147">
        <v>32000</v>
      </c>
      <c r="H142" s="153"/>
      <c r="I142" s="153"/>
      <c r="J142" s="251" t="s">
        <v>116</v>
      </c>
      <c r="K142" s="252"/>
      <c r="L142" s="147">
        <v>32000</v>
      </c>
      <c r="T142" s="153"/>
      <c r="U142" s="153"/>
      <c r="V142" s="256" t="s">
        <v>116</v>
      </c>
      <c r="W142" s="256"/>
      <c r="X142" s="147">
        <v>49000</v>
      </c>
      <c r="Z142" s="153"/>
      <c r="AA142" s="153"/>
      <c r="AB142" s="251" t="s">
        <v>116</v>
      </c>
      <c r="AC142" s="252"/>
      <c r="AD142" s="147">
        <v>49000</v>
      </c>
    </row>
    <row r="143" spans="2:36" x14ac:dyDescent="0.45">
      <c r="B143" s="153"/>
      <c r="C143" s="153"/>
      <c r="D143" s="256" t="s">
        <v>119</v>
      </c>
      <c r="E143" s="256"/>
      <c r="F143" s="148">
        <f>F142-F141</f>
        <v>12181.120791666493</v>
      </c>
      <c r="H143" s="153"/>
      <c r="I143" s="153"/>
      <c r="J143" s="256" t="s">
        <v>119</v>
      </c>
      <c r="K143" s="256"/>
      <c r="L143" s="148">
        <f>L142-L141</f>
        <v>12776.77685979574</v>
      </c>
      <c r="T143" s="153"/>
      <c r="U143" s="153"/>
      <c r="V143" s="256" t="s">
        <v>119</v>
      </c>
      <c r="W143" s="256"/>
      <c r="X143" s="148">
        <f>X142-X141</f>
        <v>18630.199115276326</v>
      </c>
      <c r="Z143" s="153"/>
      <c r="AA143" s="153"/>
      <c r="AB143" s="256" t="s">
        <v>119</v>
      </c>
      <c r="AC143" s="256"/>
      <c r="AD143" s="148">
        <f>AD142-AD141</f>
        <v>19225.855183405572</v>
      </c>
    </row>
    <row r="145" spans="2:36" ht="14.65" thickBot="1" x14ac:dyDescent="0.5">
      <c r="B145" s="2" t="s">
        <v>258</v>
      </c>
      <c r="H145" s="2" t="s">
        <v>262</v>
      </c>
      <c r="T145" s="2" t="s">
        <v>258</v>
      </c>
      <c r="Z145" s="2" t="s">
        <v>262</v>
      </c>
    </row>
    <row r="146" spans="2:36" x14ac:dyDescent="0.45">
      <c r="B146" s="119" t="s">
        <v>0</v>
      </c>
      <c r="C146" s="119" t="s">
        <v>49</v>
      </c>
      <c r="D146" s="119" t="s">
        <v>34</v>
      </c>
      <c r="E146" s="119" t="s">
        <v>50</v>
      </c>
      <c r="F146" s="119" t="s">
        <v>36</v>
      </c>
      <c r="H146" s="119" t="s">
        <v>0</v>
      </c>
      <c r="I146" s="119" t="s">
        <v>49</v>
      </c>
      <c r="J146" s="119" t="s">
        <v>34</v>
      </c>
      <c r="K146" s="119" t="s">
        <v>50</v>
      </c>
      <c r="L146" s="119" t="s">
        <v>36</v>
      </c>
      <c r="T146" s="119" t="s">
        <v>0</v>
      </c>
      <c r="U146" s="119" t="s">
        <v>49</v>
      </c>
      <c r="V146" s="119" t="s">
        <v>34</v>
      </c>
      <c r="W146" s="119" t="s">
        <v>50</v>
      </c>
      <c r="X146" s="119" t="s">
        <v>36</v>
      </c>
      <c r="Z146" s="119" t="s">
        <v>0</v>
      </c>
      <c r="AA146" s="119" t="s">
        <v>49</v>
      </c>
      <c r="AB146" s="119" t="s">
        <v>34</v>
      </c>
      <c r="AC146" s="119" t="s">
        <v>50</v>
      </c>
      <c r="AD146" s="119" t="s">
        <v>36</v>
      </c>
    </row>
    <row r="147" spans="2:36" x14ac:dyDescent="0.45">
      <c r="B147" s="141">
        <v>1</v>
      </c>
      <c r="C147" s="142" t="s">
        <v>112</v>
      </c>
      <c r="D147" s="141">
        <v>1</v>
      </c>
      <c r="E147" s="141" t="s">
        <v>6</v>
      </c>
      <c r="F147" s="143">
        <f>D147*'Daftar HPP'!$L$57</f>
        <v>4875.7315789473687</v>
      </c>
      <c r="H147" s="141">
        <v>1</v>
      </c>
      <c r="I147" s="142" t="s">
        <v>112</v>
      </c>
      <c r="J147" s="141">
        <v>1</v>
      </c>
      <c r="K147" s="141" t="s">
        <v>6</v>
      </c>
      <c r="L147" s="143">
        <f>J147*'Daftar HPP'!$L$57</f>
        <v>4875.7315789473687</v>
      </c>
      <c r="T147" s="141">
        <v>1</v>
      </c>
      <c r="U147" s="142" t="s">
        <v>112</v>
      </c>
      <c r="V147" s="141">
        <v>2</v>
      </c>
      <c r="W147" s="141" t="s">
        <v>6</v>
      </c>
      <c r="X147" s="143">
        <f>V147*'Daftar HPP'!$L$57</f>
        <v>9751.4631578947374</v>
      </c>
      <c r="Z147" s="141">
        <v>1</v>
      </c>
      <c r="AA147" s="142" t="s">
        <v>112</v>
      </c>
      <c r="AB147" s="141">
        <v>2</v>
      </c>
      <c r="AC147" s="141" t="s">
        <v>6</v>
      </c>
      <c r="AD147" s="143">
        <f>AB147*'Daftar HPP'!$L$57</f>
        <v>9751.4631578947374</v>
      </c>
    </row>
    <row r="148" spans="2:36" x14ac:dyDescent="0.45">
      <c r="B148" s="141">
        <v>2</v>
      </c>
      <c r="C148" s="142" t="s">
        <v>18</v>
      </c>
      <c r="D148" s="141">
        <v>40</v>
      </c>
      <c r="E148" s="141" t="s">
        <v>8</v>
      </c>
      <c r="F148" s="143">
        <f>D148*'Daftar HPP'!$F$123</f>
        <v>1845.2950558213715</v>
      </c>
      <c r="H148" s="141">
        <v>2</v>
      </c>
      <c r="I148" s="142" t="s">
        <v>18</v>
      </c>
      <c r="J148" s="141">
        <v>40</v>
      </c>
      <c r="K148" s="141" t="s">
        <v>8</v>
      </c>
      <c r="L148" s="143">
        <f>J148*'Daftar HPP'!$F$123</f>
        <v>1845.2950558213715</v>
      </c>
      <c r="T148" s="141">
        <v>2</v>
      </c>
      <c r="U148" s="142" t="s">
        <v>18</v>
      </c>
      <c r="V148" s="141">
        <v>80</v>
      </c>
      <c r="W148" s="141" t="s">
        <v>8</v>
      </c>
      <c r="X148" s="143">
        <f>V148*'Daftar HPP'!$F$123</f>
        <v>3690.5901116427431</v>
      </c>
      <c r="Z148" s="141">
        <v>2</v>
      </c>
      <c r="AA148" s="142" t="s">
        <v>18</v>
      </c>
      <c r="AB148" s="141">
        <v>80</v>
      </c>
      <c r="AC148" s="141" t="s">
        <v>8</v>
      </c>
      <c r="AD148" s="143">
        <f>AB148*'Daftar HPP'!$F$123</f>
        <v>3690.5901116427431</v>
      </c>
    </row>
    <row r="149" spans="2:36" x14ac:dyDescent="0.45">
      <c r="B149" s="141">
        <v>3</v>
      </c>
      <c r="C149" s="142" t="s">
        <v>254</v>
      </c>
      <c r="D149" s="141">
        <v>1</v>
      </c>
      <c r="E149" s="141" t="s">
        <v>118</v>
      </c>
      <c r="F149" s="143">
        <f>D149*'Daftar HPP'!$F$105</f>
        <v>7659.7900832428531</v>
      </c>
      <c r="H149" s="141">
        <v>3</v>
      </c>
      <c r="I149" s="142" t="s">
        <v>254</v>
      </c>
      <c r="J149" s="141">
        <v>1</v>
      </c>
      <c r="K149" s="141" t="s">
        <v>118</v>
      </c>
      <c r="L149" s="143">
        <f>J149*'Daftar HPP'!$F$105</f>
        <v>7659.7900832428531</v>
      </c>
      <c r="T149" s="141">
        <v>3</v>
      </c>
      <c r="U149" s="142" t="s">
        <v>269</v>
      </c>
      <c r="V149" s="141">
        <v>1</v>
      </c>
      <c r="W149" s="141" t="s">
        <v>118</v>
      </c>
      <c r="X149" s="143">
        <f>V149*'Daftar HPP'!$L$96</f>
        <v>11489.68512486428</v>
      </c>
      <c r="Z149" s="141">
        <v>3</v>
      </c>
      <c r="AA149" s="142" t="s">
        <v>269</v>
      </c>
      <c r="AB149" s="141">
        <v>1</v>
      </c>
      <c r="AC149" s="141" t="s">
        <v>118</v>
      </c>
      <c r="AD149" s="143">
        <f>AB149*'Daftar HPP'!$L$96</f>
        <v>11489.68512486428</v>
      </c>
    </row>
    <row r="150" spans="2:36" x14ac:dyDescent="0.45">
      <c r="B150" s="141">
        <v>4</v>
      </c>
      <c r="C150" s="142" t="s">
        <v>17</v>
      </c>
      <c r="D150" s="141">
        <v>30</v>
      </c>
      <c r="E150" s="141" t="s">
        <v>8</v>
      </c>
      <c r="F150" s="144">
        <f>D150*'Daftar HPP'!$F$152</f>
        <v>2093.9588100686497</v>
      </c>
      <c r="H150" s="141">
        <v>4</v>
      </c>
      <c r="I150" s="142" t="s">
        <v>107</v>
      </c>
      <c r="J150" s="141">
        <v>30</v>
      </c>
      <c r="K150" s="141" t="s">
        <v>8</v>
      </c>
      <c r="L150" s="144">
        <f>J150*'Daftar HPP'!$L$152</f>
        <v>2144.1036802532649</v>
      </c>
      <c r="T150" s="141">
        <v>4</v>
      </c>
      <c r="U150" s="142" t="s">
        <v>17</v>
      </c>
      <c r="V150" s="141">
        <v>30</v>
      </c>
      <c r="W150" s="141" t="s">
        <v>8</v>
      </c>
      <c r="X150" s="144">
        <f>V150*'Daftar HPP'!$F$152</f>
        <v>2093.9588100686497</v>
      </c>
      <c r="Z150" s="141">
        <v>4</v>
      </c>
      <c r="AA150" s="142" t="s">
        <v>107</v>
      </c>
      <c r="AB150" s="141">
        <v>30</v>
      </c>
      <c r="AC150" s="141" t="s">
        <v>8</v>
      </c>
      <c r="AD150" s="144">
        <f>AB150*'Daftar HPP'!$L$152</f>
        <v>2144.1036802532649</v>
      </c>
    </row>
    <row r="151" spans="2:36" x14ac:dyDescent="0.45">
      <c r="B151" s="141">
        <v>5</v>
      </c>
      <c r="C151" s="142" t="s">
        <v>26</v>
      </c>
      <c r="D151" s="141">
        <v>30</v>
      </c>
      <c r="E151" s="141" t="s">
        <v>8</v>
      </c>
      <c r="F151" s="144">
        <f>D151*'Daftar HPP'!$L$143</f>
        <v>1647.4064221926658</v>
      </c>
      <c r="H151" s="141">
        <v>5</v>
      </c>
      <c r="I151" s="142" t="s">
        <v>105</v>
      </c>
      <c r="J151" s="141">
        <v>30</v>
      </c>
      <c r="K151" s="141" t="s">
        <v>8</v>
      </c>
      <c r="L151" s="144">
        <f>J151*'Daftar HPP'!$F$143</f>
        <v>2146.3497453310692</v>
      </c>
      <c r="T151" s="141">
        <v>5</v>
      </c>
      <c r="U151" s="142" t="s">
        <v>26</v>
      </c>
      <c r="V151" s="141">
        <v>30</v>
      </c>
      <c r="W151" s="141" t="s">
        <v>8</v>
      </c>
      <c r="X151" s="144">
        <f>V151*'Daftar HPP'!$L$143</f>
        <v>1647.4064221926658</v>
      </c>
      <c r="Z151" s="141">
        <v>5</v>
      </c>
      <c r="AA151" s="142" t="s">
        <v>105</v>
      </c>
      <c r="AB151" s="141">
        <v>30</v>
      </c>
      <c r="AC151" s="141" t="s">
        <v>8</v>
      </c>
      <c r="AD151" s="144">
        <f>AB151*'Daftar HPP'!$F$143</f>
        <v>2146.3497453310692</v>
      </c>
    </row>
    <row r="152" spans="2:36" x14ac:dyDescent="0.45">
      <c r="B152" s="141">
        <v>6</v>
      </c>
      <c r="C152" s="142" t="s">
        <v>270</v>
      </c>
      <c r="D152" s="141">
        <v>1</v>
      </c>
      <c r="E152" s="141" t="s">
        <v>8</v>
      </c>
      <c r="F152" s="144">
        <f>D152*'Daftar HPP'!$G$33</f>
        <v>100</v>
      </c>
      <c r="H152" s="141">
        <v>6</v>
      </c>
      <c r="I152" s="142" t="s">
        <v>270</v>
      </c>
      <c r="J152" s="141">
        <v>1</v>
      </c>
      <c r="K152" s="141" t="s">
        <v>8</v>
      </c>
      <c r="L152" s="144">
        <f>J152*'Daftar HPP'!$G$33</f>
        <v>100</v>
      </c>
      <c r="T152" s="141">
        <v>6</v>
      </c>
      <c r="U152" s="142" t="s">
        <v>270</v>
      </c>
      <c r="V152" s="141">
        <v>1</v>
      </c>
      <c r="W152" s="141" t="s">
        <v>8</v>
      </c>
      <c r="X152" s="144">
        <f>V152*'Daftar HPP'!$G$33</f>
        <v>100</v>
      </c>
      <c r="Z152" s="141">
        <v>6</v>
      </c>
      <c r="AA152" s="142" t="s">
        <v>270</v>
      </c>
      <c r="AB152" s="141">
        <v>1</v>
      </c>
      <c r="AC152" s="141" t="s">
        <v>8</v>
      </c>
      <c r="AD152" s="144">
        <f>AB152*'Daftar HPP'!$G$33</f>
        <v>100</v>
      </c>
    </row>
    <row r="153" spans="2:36" x14ac:dyDescent="0.45">
      <c r="B153" s="141">
        <v>7</v>
      </c>
      <c r="C153" s="142" t="s">
        <v>251</v>
      </c>
      <c r="D153" s="141">
        <v>1</v>
      </c>
      <c r="E153" s="141" t="s">
        <v>28</v>
      </c>
      <c r="F153" s="144">
        <f>D153*'Daftar HPP'!$G$39</f>
        <v>1100</v>
      </c>
      <c r="H153" s="141">
        <v>7</v>
      </c>
      <c r="I153" s="142" t="s">
        <v>251</v>
      </c>
      <c r="J153" s="141">
        <v>1</v>
      </c>
      <c r="K153" s="141" t="s">
        <v>28</v>
      </c>
      <c r="L153" s="144">
        <f>J153*'Daftar HPP'!$G$39</f>
        <v>1100</v>
      </c>
      <c r="T153" s="141">
        <v>7</v>
      </c>
      <c r="U153" s="142" t="s">
        <v>251</v>
      </c>
      <c r="V153" s="141">
        <v>1</v>
      </c>
      <c r="W153" s="141" t="s">
        <v>28</v>
      </c>
      <c r="X153" s="144">
        <f>V153*'Daftar HPP'!$G$39</f>
        <v>1100</v>
      </c>
      <c r="Z153" s="141">
        <v>7</v>
      </c>
      <c r="AA153" s="142" t="s">
        <v>251</v>
      </c>
      <c r="AB153" s="141">
        <v>1</v>
      </c>
      <c r="AC153" s="141" t="s">
        <v>28</v>
      </c>
      <c r="AD153" s="144">
        <f>AB153*'Daftar HPP'!$G$39</f>
        <v>1100</v>
      </c>
    </row>
    <row r="154" spans="2:36" x14ac:dyDescent="0.45">
      <c r="B154" s="153"/>
      <c r="C154" s="150"/>
      <c r="D154" s="261" t="s">
        <v>53</v>
      </c>
      <c r="E154" s="261"/>
      <c r="F154" s="190">
        <f>SUM(F147:F153)</f>
        <v>19322.181950272909</v>
      </c>
      <c r="H154" s="153"/>
      <c r="I154" s="150"/>
      <c r="J154" s="261" t="s">
        <v>53</v>
      </c>
      <c r="K154" s="261"/>
      <c r="L154" s="190">
        <f>SUM(L147:L153)</f>
        <v>19871.270143595928</v>
      </c>
      <c r="T154" s="153"/>
      <c r="U154" s="150"/>
      <c r="V154" s="261" t="s">
        <v>53</v>
      </c>
      <c r="W154" s="261"/>
      <c r="X154" s="190">
        <f>SUM(X147:X153)</f>
        <v>29873.103626663076</v>
      </c>
      <c r="Z154" s="153"/>
      <c r="AA154" s="150"/>
      <c r="AB154" s="261" t="s">
        <v>53</v>
      </c>
      <c r="AC154" s="261"/>
      <c r="AD154" s="190">
        <f>SUM(AD147:AD153)</f>
        <v>30422.191819986096</v>
      </c>
    </row>
    <row r="155" spans="2:36" x14ac:dyDescent="0.45">
      <c r="B155" s="153"/>
      <c r="C155" s="153"/>
      <c r="D155" s="256" t="s">
        <v>116</v>
      </c>
      <c r="E155" s="256"/>
      <c r="F155" s="147">
        <v>32000</v>
      </c>
      <c r="H155" s="153"/>
      <c r="I155" s="153"/>
      <c r="J155" s="256" t="s">
        <v>116</v>
      </c>
      <c r="K155" s="256"/>
      <c r="L155" s="147">
        <v>32000</v>
      </c>
      <c r="T155" s="153"/>
      <c r="U155" s="153"/>
      <c r="V155" s="256" t="s">
        <v>116</v>
      </c>
      <c r="W155" s="256"/>
      <c r="X155" s="147">
        <v>49000</v>
      </c>
      <c r="Z155" s="153"/>
      <c r="AA155" s="153"/>
      <c r="AB155" s="256" t="s">
        <v>116</v>
      </c>
      <c r="AC155" s="256"/>
      <c r="AD155" s="147">
        <v>49000</v>
      </c>
    </row>
    <row r="156" spans="2:36" x14ac:dyDescent="0.45">
      <c r="B156" s="153"/>
      <c r="C156" s="153"/>
      <c r="D156" s="256" t="s">
        <v>119</v>
      </c>
      <c r="E156" s="256"/>
      <c r="F156" s="148">
        <f>F155-F154</f>
        <v>12677.818049727091</v>
      </c>
      <c r="H156" s="153"/>
      <c r="I156" s="153"/>
      <c r="J156" s="256" t="s">
        <v>119</v>
      </c>
      <c r="K156" s="256"/>
      <c r="L156" s="148">
        <f>L155-L154</f>
        <v>12128.729856404072</v>
      </c>
      <c r="T156" s="153"/>
      <c r="U156" s="153"/>
      <c r="V156" s="256" t="s">
        <v>119</v>
      </c>
      <c r="W156" s="256"/>
      <c r="X156" s="148">
        <f>X155-X154</f>
        <v>19126.896373336924</v>
      </c>
      <c r="Z156" s="153"/>
      <c r="AA156" s="153"/>
      <c r="AB156" s="256" t="s">
        <v>119</v>
      </c>
      <c r="AC156" s="256"/>
      <c r="AD156" s="148">
        <f>AD155-AD154</f>
        <v>18577.808180013904</v>
      </c>
    </row>
    <row r="158" spans="2:36" ht="15.4" x14ac:dyDescent="0.45">
      <c r="B158" s="259" t="s">
        <v>311</v>
      </c>
      <c r="C158" s="259"/>
      <c r="D158" s="259"/>
      <c r="E158" s="259"/>
      <c r="F158" s="259"/>
      <c r="G158" s="259"/>
      <c r="H158" s="259"/>
      <c r="I158" s="259"/>
      <c r="J158" s="259"/>
      <c r="K158" s="259"/>
      <c r="L158" s="259"/>
      <c r="M158" s="259"/>
      <c r="N158" s="259"/>
      <c r="O158" s="259"/>
      <c r="P158" s="259"/>
      <c r="Q158" s="259"/>
      <c r="R158" s="259"/>
      <c r="T158" s="259" t="s">
        <v>312</v>
      </c>
      <c r="U158" s="259"/>
      <c r="V158" s="259"/>
      <c r="W158" s="259"/>
      <c r="X158" s="259"/>
      <c r="Y158" s="259"/>
      <c r="Z158" s="259"/>
      <c r="AA158" s="259"/>
      <c r="AB158" s="259"/>
      <c r="AC158" s="259"/>
      <c r="AD158" s="259"/>
      <c r="AE158" s="259"/>
      <c r="AF158" s="259"/>
      <c r="AG158" s="259"/>
      <c r="AH158" s="259"/>
      <c r="AI158" s="259"/>
      <c r="AJ158" s="259"/>
    </row>
    <row r="159" spans="2:36" ht="14.65" thickBot="1" x14ac:dyDescent="0.5">
      <c r="B159" s="2" t="s">
        <v>253</v>
      </c>
      <c r="H159" s="2" t="s">
        <v>259</v>
      </c>
      <c r="N159" s="2" t="s">
        <v>263</v>
      </c>
      <c r="T159" s="2" t="s">
        <v>253</v>
      </c>
      <c r="Z159" s="2" t="s">
        <v>259</v>
      </c>
      <c r="AF159" s="2" t="s">
        <v>263</v>
      </c>
    </row>
    <row r="160" spans="2:36" x14ac:dyDescent="0.45">
      <c r="B160" s="119" t="s">
        <v>0</v>
      </c>
      <c r="C160" s="119" t="s">
        <v>49</v>
      </c>
      <c r="D160" s="119" t="s">
        <v>34</v>
      </c>
      <c r="E160" s="119" t="s">
        <v>50</v>
      </c>
      <c r="F160" s="119" t="s">
        <v>36</v>
      </c>
      <c r="H160" s="119" t="s">
        <v>0</v>
      </c>
      <c r="I160" s="119" t="s">
        <v>49</v>
      </c>
      <c r="J160" s="119" t="s">
        <v>34</v>
      </c>
      <c r="K160" s="119" t="s">
        <v>50</v>
      </c>
      <c r="L160" s="119" t="s">
        <v>36</v>
      </c>
      <c r="N160" s="119" t="s">
        <v>0</v>
      </c>
      <c r="O160" s="119" t="s">
        <v>49</v>
      </c>
      <c r="P160" s="119" t="s">
        <v>34</v>
      </c>
      <c r="Q160" s="119" t="s">
        <v>50</v>
      </c>
      <c r="R160" s="119" t="s">
        <v>36</v>
      </c>
      <c r="T160" s="119" t="s">
        <v>0</v>
      </c>
      <c r="U160" s="119" t="s">
        <v>49</v>
      </c>
      <c r="V160" s="119" t="s">
        <v>34</v>
      </c>
      <c r="W160" s="119" t="s">
        <v>50</v>
      </c>
      <c r="X160" s="119" t="s">
        <v>36</v>
      </c>
      <c r="Z160" s="119" t="s">
        <v>0</v>
      </c>
      <c r="AA160" s="119" t="s">
        <v>49</v>
      </c>
      <c r="AB160" s="119" t="s">
        <v>34</v>
      </c>
      <c r="AC160" s="119" t="s">
        <v>50</v>
      </c>
      <c r="AD160" s="119" t="s">
        <v>36</v>
      </c>
      <c r="AF160" s="119" t="s">
        <v>0</v>
      </c>
      <c r="AG160" s="119" t="s">
        <v>49</v>
      </c>
      <c r="AH160" s="119" t="s">
        <v>34</v>
      </c>
      <c r="AI160" s="119" t="s">
        <v>50</v>
      </c>
      <c r="AJ160" s="119" t="s">
        <v>36</v>
      </c>
    </row>
    <row r="161" spans="2:36" x14ac:dyDescent="0.45">
      <c r="B161" s="141">
        <v>1</v>
      </c>
      <c r="C161" s="142" t="s">
        <v>112</v>
      </c>
      <c r="D161" s="141">
        <v>1</v>
      </c>
      <c r="E161" s="141" t="s">
        <v>6</v>
      </c>
      <c r="F161" s="143">
        <f>D161*'Daftar HPP'!$L$57</f>
        <v>4875.7315789473687</v>
      </c>
      <c r="H161" s="141">
        <v>1</v>
      </c>
      <c r="I161" s="142" t="s">
        <v>112</v>
      </c>
      <c r="J161" s="141">
        <v>1</v>
      </c>
      <c r="K161" s="141" t="s">
        <v>6</v>
      </c>
      <c r="L161" s="143">
        <f>J161*'Daftar HPP'!$L$57</f>
        <v>4875.7315789473687</v>
      </c>
      <c r="N161" s="141">
        <v>1</v>
      </c>
      <c r="O161" s="142" t="s">
        <v>112</v>
      </c>
      <c r="P161" s="141">
        <v>1</v>
      </c>
      <c r="Q161" s="141" t="s">
        <v>6</v>
      </c>
      <c r="R161" s="143">
        <f>P161*'Daftar HPP'!$L$57</f>
        <v>4875.7315789473687</v>
      </c>
      <c r="T161" s="141">
        <v>1</v>
      </c>
      <c r="U161" s="142" t="s">
        <v>112</v>
      </c>
      <c r="V161" s="141">
        <v>2</v>
      </c>
      <c r="W161" s="141" t="s">
        <v>6</v>
      </c>
      <c r="X161" s="143">
        <f>V161*'Daftar HPP'!$L$57</f>
        <v>9751.4631578947374</v>
      </c>
      <c r="Z161" s="141">
        <v>1</v>
      </c>
      <c r="AA161" s="142" t="s">
        <v>112</v>
      </c>
      <c r="AB161" s="141">
        <v>2</v>
      </c>
      <c r="AC161" s="141" t="s">
        <v>6</v>
      </c>
      <c r="AD161" s="143">
        <f>AB161*'Daftar HPP'!$L$57</f>
        <v>9751.4631578947374</v>
      </c>
      <c r="AF161" s="141">
        <v>1</v>
      </c>
      <c r="AG161" s="142" t="s">
        <v>112</v>
      </c>
      <c r="AH161" s="141">
        <v>2</v>
      </c>
      <c r="AI161" s="141" t="s">
        <v>6</v>
      </c>
      <c r="AJ161" s="143">
        <f>AH161*'Daftar HPP'!$L$57</f>
        <v>9751.4631578947374</v>
      </c>
    </row>
    <row r="162" spans="2:36" x14ac:dyDescent="0.45">
      <c r="B162" s="141">
        <v>2</v>
      </c>
      <c r="C162" s="142" t="s">
        <v>21</v>
      </c>
      <c r="D162" s="141">
        <v>40</v>
      </c>
      <c r="E162" s="141" t="s">
        <v>8</v>
      </c>
      <c r="F162" s="143">
        <f>D162*'Daftar HPP'!$F$131</f>
        <v>1730.1435406698565</v>
      </c>
      <c r="H162" s="141">
        <v>2</v>
      </c>
      <c r="I162" s="142" t="s">
        <v>21</v>
      </c>
      <c r="J162" s="141">
        <v>40</v>
      </c>
      <c r="K162" s="141" t="s">
        <v>8</v>
      </c>
      <c r="L162" s="143">
        <f>J162*'Daftar HPP'!$F$131</f>
        <v>1730.1435406698565</v>
      </c>
      <c r="N162" s="141">
        <v>2</v>
      </c>
      <c r="O162" s="142" t="s">
        <v>21</v>
      </c>
      <c r="P162" s="141">
        <v>40</v>
      </c>
      <c r="Q162" s="141" t="s">
        <v>8</v>
      </c>
      <c r="R162" s="143">
        <f>P162*'Daftar HPP'!$F$131</f>
        <v>1730.1435406698565</v>
      </c>
      <c r="T162" s="141">
        <v>2</v>
      </c>
      <c r="U162" s="142" t="s">
        <v>21</v>
      </c>
      <c r="V162" s="141">
        <v>80</v>
      </c>
      <c r="W162" s="141" t="s">
        <v>8</v>
      </c>
      <c r="X162" s="143">
        <f>V162*'Daftar HPP'!$F$131</f>
        <v>3460.287081339713</v>
      </c>
      <c r="Z162" s="141">
        <v>2</v>
      </c>
      <c r="AA162" s="142" t="s">
        <v>21</v>
      </c>
      <c r="AB162" s="141">
        <v>80</v>
      </c>
      <c r="AC162" s="141" t="s">
        <v>8</v>
      </c>
      <c r="AD162" s="143">
        <f>AB162*'Daftar HPP'!$F$131</f>
        <v>3460.287081339713</v>
      </c>
      <c r="AF162" s="141">
        <v>2</v>
      </c>
      <c r="AG162" s="142" t="s">
        <v>21</v>
      </c>
      <c r="AH162" s="141">
        <v>80</v>
      </c>
      <c r="AI162" s="141" t="s">
        <v>8</v>
      </c>
      <c r="AJ162" s="143">
        <f>AH162*'Daftar HPP'!$F$131</f>
        <v>3460.287081339713</v>
      </c>
    </row>
    <row r="163" spans="2:36" x14ac:dyDescent="0.45">
      <c r="B163" s="141">
        <v>3</v>
      </c>
      <c r="C163" s="142" t="s">
        <v>254</v>
      </c>
      <c r="D163" s="141">
        <v>1</v>
      </c>
      <c r="E163" s="141" t="s">
        <v>118</v>
      </c>
      <c r="F163" s="143">
        <f>D163*'Daftar HPP'!$F$105</f>
        <v>7659.7900832428531</v>
      </c>
      <c r="H163" s="141">
        <v>3</v>
      </c>
      <c r="I163" s="142" t="s">
        <v>254</v>
      </c>
      <c r="J163" s="141">
        <v>1</v>
      </c>
      <c r="K163" s="141" t="s">
        <v>118</v>
      </c>
      <c r="L163" s="143">
        <f>J163*'Daftar HPP'!$F$105</f>
        <v>7659.7900832428531</v>
      </c>
      <c r="N163" s="141">
        <v>3</v>
      </c>
      <c r="O163" s="142" t="s">
        <v>254</v>
      </c>
      <c r="P163" s="141">
        <v>1</v>
      </c>
      <c r="Q163" s="141" t="s">
        <v>118</v>
      </c>
      <c r="R163" s="143">
        <f>P163*'Daftar HPP'!$F$105</f>
        <v>7659.7900832428531</v>
      </c>
      <c r="T163" s="141">
        <v>3</v>
      </c>
      <c r="U163" s="142" t="s">
        <v>269</v>
      </c>
      <c r="V163" s="141">
        <v>1</v>
      </c>
      <c r="W163" s="141" t="s">
        <v>118</v>
      </c>
      <c r="X163" s="143">
        <f>V163*'Daftar HPP'!$L$96</f>
        <v>11489.68512486428</v>
      </c>
      <c r="Z163" s="141">
        <v>3</v>
      </c>
      <c r="AA163" s="142" t="s">
        <v>269</v>
      </c>
      <c r="AB163" s="141">
        <v>1</v>
      </c>
      <c r="AC163" s="141" t="s">
        <v>118</v>
      </c>
      <c r="AD163" s="143">
        <f>AB163*'Daftar HPP'!$L$96</f>
        <v>11489.68512486428</v>
      </c>
      <c r="AF163" s="141">
        <v>3</v>
      </c>
      <c r="AG163" s="142" t="s">
        <v>269</v>
      </c>
      <c r="AH163" s="141">
        <v>1</v>
      </c>
      <c r="AI163" s="141" t="s">
        <v>118</v>
      </c>
      <c r="AJ163" s="143">
        <f>AH163*'Daftar HPP'!$L$96</f>
        <v>11489.68512486428</v>
      </c>
    </row>
    <row r="164" spans="2:36" x14ac:dyDescent="0.45">
      <c r="B164" s="141">
        <v>4</v>
      </c>
      <c r="C164" s="142" t="s">
        <v>17</v>
      </c>
      <c r="D164" s="141">
        <v>30</v>
      </c>
      <c r="E164" s="141" t="s">
        <v>8</v>
      </c>
      <c r="F164" s="144">
        <f>D164*'Daftar HPP'!$F$152</f>
        <v>2093.9588100686497</v>
      </c>
      <c r="H164" s="141">
        <v>4</v>
      </c>
      <c r="I164" s="142" t="s">
        <v>25</v>
      </c>
      <c r="J164" s="141">
        <v>30</v>
      </c>
      <c r="K164" s="141" t="s">
        <v>8</v>
      </c>
      <c r="L164" s="144">
        <f>J164*'Daftar HPP'!$G$22</f>
        <v>1995</v>
      </c>
      <c r="N164" s="141">
        <v>4</v>
      </c>
      <c r="O164" s="142" t="s">
        <v>107</v>
      </c>
      <c r="P164" s="141">
        <v>30</v>
      </c>
      <c r="Q164" s="141" t="s">
        <v>8</v>
      </c>
      <c r="R164" s="144">
        <f>P164*'Daftar HPP'!$L$152</f>
        <v>2144.1036802532649</v>
      </c>
      <c r="T164" s="141">
        <v>4</v>
      </c>
      <c r="U164" s="142" t="s">
        <v>17</v>
      </c>
      <c r="V164" s="141">
        <v>30</v>
      </c>
      <c r="W164" s="141" t="s">
        <v>8</v>
      </c>
      <c r="X164" s="144">
        <f>V164*'Daftar HPP'!$F$152</f>
        <v>2093.9588100686497</v>
      </c>
      <c r="Z164" s="141">
        <v>4</v>
      </c>
      <c r="AA164" s="142" t="s">
        <v>25</v>
      </c>
      <c r="AB164" s="141">
        <v>30</v>
      </c>
      <c r="AC164" s="141" t="s">
        <v>8</v>
      </c>
      <c r="AD164" s="144">
        <f>AB164*'Daftar HPP'!$G$22</f>
        <v>1995</v>
      </c>
      <c r="AF164" s="141">
        <v>4</v>
      </c>
      <c r="AG164" s="142" t="s">
        <v>107</v>
      </c>
      <c r="AH164" s="141">
        <v>30</v>
      </c>
      <c r="AI164" s="141" t="s">
        <v>8</v>
      </c>
      <c r="AJ164" s="144">
        <f>AH164*'Daftar HPP'!$L$152</f>
        <v>2144.1036802532649</v>
      </c>
    </row>
    <row r="165" spans="2:36" x14ac:dyDescent="0.45">
      <c r="B165" s="141">
        <v>5</v>
      </c>
      <c r="C165" s="142" t="s">
        <v>25</v>
      </c>
      <c r="D165" s="141">
        <v>30</v>
      </c>
      <c r="E165" s="141" t="s">
        <v>8</v>
      </c>
      <c r="F165" s="144">
        <f>D165*'Daftar HPP'!$G$22</f>
        <v>1995</v>
      </c>
      <c r="H165" s="141">
        <v>5</v>
      </c>
      <c r="I165" s="142" t="s">
        <v>105</v>
      </c>
      <c r="J165" s="141">
        <v>30</v>
      </c>
      <c r="K165" s="141" t="s">
        <v>8</v>
      </c>
      <c r="L165" s="144">
        <f>J165*'Daftar HPP'!$F$143</f>
        <v>2146.3497453310692</v>
      </c>
      <c r="N165" s="141">
        <v>5</v>
      </c>
      <c r="O165" s="142" t="s">
        <v>26</v>
      </c>
      <c r="P165" s="141">
        <v>30</v>
      </c>
      <c r="Q165" s="141" t="s">
        <v>8</v>
      </c>
      <c r="R165" s="144">
        <f>P165*'Daftar HPP'!$L$143</f>
        <v>1647.4064221926658</v>
      </c>
      <c r="T165" s="141">
        <v>5</v>
      </c>
      <c r="U165" s="142" t="s">
        <v>25</v>
      </c>
      <c r="V165" s="141">
        <v>30</v>
      </c>
      <c r="W165" s="141" t="s">
        <v>8</v>
      </c>
      <c r="X165" s="144">
        <f>V165*'Daftar HPP'!$G$22</f>
        <v>1995</v>
      </c>
      <c r="Z165" s="141">
        <v>5</v>
      </c>
      <c r="AA165" s="142" t="s">
        <v>105</v>
      </c>
      <c r="AB165" s="141">
        <v>30</v>
      </c>
      <c r="AC165" s="141" t="s">
        <v>8</v>
      </c>
      <c r="AD165" s="144">
        <f>AB165*'Daftar HPP'!$F$143</f>
        <v>2146.3497453310692</v>
      </c>
      <c r="AF165" s="141">
        <v>5</v>
      </c>
      <c r="AG165" s="142" t="s">
        <v>26</v>
      </c>
      <c r="AH165" s="141">
        <v>30</v>
      </c>
      <c r="AI165" s="141" t="s">
        <v>8</v>
      </c>
      <c r="AJ165" s="144">
        <f>AH165*'Daftar HPP'!$L$143</f>
        <v>1647.4064221926658</v>
      </c>
    </row>
    <row r="166" spans="2:36" x14ac:dyDescent="0.45">
      <c r="B166" s="141">
        <v>6</v>
      </c>
      <c r="C166" s="142" t="s">
        <v>270</v>
      </c>
      <c r="D166" s="141">
        <v>1</v>
      </c>
      <c r="E166" s="141" t="s">
        <v>8</v>
      </c>
      <c r="F166" s="144">
        <f>D166*'Daftar HPP'!$G$33</f>
        <v>100</v>
      </c>
      <c r="H166" s="141">
        <v>6</v>
      </c>
      <c r="I166" s="142" t="s">
        <v>270</v>
      </c>
      <c r="J166" s="141">
        <v>1</v>
      </c>
      <c r="K166" s="141" t="s">
        <v>8</v>
      </c>
      <c r="L166" s="144">
        <f>J166*'Daftar HPP'!$G$33</f>
        <v>100</v>
      </c>
      <c r="N166" s="141">
        <v>6</v>
      </c>
      <c r="O166" s="142" t="s">
        <v>270</v>
      </c>
      <c r="P166" s="141">
        <v>1</v>
      </c>
      <c r="Q166" s="141" t="s">
        <v>8</v>
      </c>
      <c r="R166" s="144">
        <f>P166*'Daftar HPP'!$G$33</f>
        <v>100</v>
      </c>
      <c r="T166" s="141">
        <v>6</v>
      </c>
      <c r="U166" s="142" t="s">
        <v>270</v>
      </c>
      <c r="V166" s="141">
        <v>1</v>
      </c>
      <c r="W166" s="141" t="s">
        <v>8</v>
      </c>
      <c r="X166" s="144">
        <f>V166*'Daftar HPP'!$G$33</f>
        <v>100</v>
      </c>
      <c r="Z166" s="141">
        <v>6</v>
      </c>
      <c r="AA166" s="142" t="s">
        <v>270</v>
      </c>
      <c r="AB166" s="141">
        <v>1</v>
      </c>
      <c r="AC166" s="141" t="s">
        <v>8</v>
      </c>
      <c r="AD166" s="144">
        <f>AB166*'Daftar HPP'!$G$33</f>
        <v>100</v>
      </c>
      <c r="AF166" s="141">
        <v>6</v>
      </c>
      <c r="AG166" s="142" t="s">
        <v>270</v>
      </c>
      <c r="AH166" s="141">
        <v>1</v>
      </c>
      <c r="AI166" s="141" t="s">
        <v>8</v>
      </c>
      <c r="AJ166" s="144">
        <f>AH166*'Daftar HPP'!$G$33</f>
        <v>100</v>
      </c>
    </row>
    <row r="167" spans="2:36" x14ac:dyDescent="0.45">
      <c r="B167" s="141">
        <v>7</v>
      </c>
      <c r="C167" s="142" t="s">
        <v>251</v>
      </c>
      <c r="D167" s="141">
        <v>1</v>
      </c>
      <c r="E167" s="141" t="s">
        <v>28</v>
      </c>
      <c r="F167" s="144">
        <f>D167*'Daftar HPP'!$G$39</f>
        <v>1100</v>
      </c>
      <c r="H167" s="141">
        <v>7</v>
      </c>
      <c r="I167" s="142" t="s">
        <v>251</v>
      </c>
      <c r="J167" s="141">
        <v>1</v>
      </c>
      <c r="K167" s="141" t="s">
        <v>28</v>
      </c>
      <c r="L167" s="144">
        <f>J167*'Daftar HPP'!$G$39</f>
        <v>1100</v>
      </c>
      <c r="N167" s="141">
        <v>7</v>
      </c>
      <c r="O167" s="142" t="s">
        <v>251</v>
      </c>
      <c r="P167" s="141">
        <v>1</v>
      </c>
      <c r="Q167" s="141" t="s">
        <v>28</v>
      </c>
      <c r="R167" s="144">
        <f>P167*'Daftar HPP'!$G$39</f>
        <v>1100</v>
      </c>
      <c r="T167" s="141">
        <v>7</v>
      </c>
      <c r="U167" s="142" t="s">
        <v>251</v>
      </c>
      <c r="V167" s="141">
        <v>1</v>
      </c>
      <c r="W167" s="141" t="s">
        <v>28</v>
      </c>
      <c r="X167" s="144">
        <f>V167*'Daftar HPP'!$G$39</f>
        <v>1100</v>
      </c>
      <c r="Z167" s="141">
        <v>7</v>
      </c>
      <c r="AA167" s="142" t="s">
        <v>251</v>
      </c>
      <c r="AB167" s="141">
        <v>1</v>
      </c>
      <c r="AC167" s="141" t="s">
        <v>28</v>
      </c>
      <c r="AD167" s="144">
        <f>AB167*'Daftar HPP'!$G$39</f>
        <v>1100</v>
      </c>
      <c r="AF167" s="141">
        <v>7</v>
      </c>
      <c r="AG167" s="142" t="s">
        <v>251</v>
      </c>
      <c r="AH167" s="141">
        <v>1</v>
      </c>
      <c r="AI167" s="141" t="s">
        <v>28</v>
      </c>
      <c r="AJ167" s="144">
        <f>AH167*'Daftar HPP'!$G$39</f>
        <v>1100</v>
      </c>
    </row>
    <row r="168" spans="2:36" x14ac:dyDescent="0.45">
      <c r="B168" s="153"/>
      <c r="C168" s="150"/>
      <c r="D168" s="261" t="s">
        <v>53</v>
      </c>
      <c r="E168" s="261"/>
      <c r="F168" s="190">
        <f>SUM(F161:F167)</f>
        <v>19554.624012928729</v>
      </c>
      <c r="H168" s="153"/>
      <c r="I168" s="150"/>
      <c r="J168" s="261" t="s">
        <v>53</v>
      </c>
      <c r="K168" s="261"/>
      <c r="L168" s="190">
        <f>SUM(L161:L167)</f>
        <v>19607.014948191147</v>
      </c>
      <c r="N168" s="153"/>
      <c r="O168" s="150"/>
      <c r="P168" s="261" t="s">
        <v>53</v>
      </c>
      <c r="Q168" s="261"/>
      <c r="R168" s="190">
        <f>SUM(R161:R167)</f>
        <v>19257.175305306009</v>
      </c>
      <c r="T168" s="153"/>
      <c r="U168" s="150"/>
      <c r="V168" s="261" t="s">
        <v>53</v>
      </c>
      <c r="W168" s="261"/>
      <c r="X168" s="190">
        <f>SUM(X161:X167)</f>
        <v>29990.394174167381</v>
      </c>
      <c r="Z168" s="153"/>
      <c r="AA168" s="150"/>
      <c r="AB168" s="261" t="s">
        <v>53</v>
      </c>
      <c r="AC168" s="261"/>
      <c r="AD168" s="190">
        <f>SUM(AD161:AD167)</f>
        <v>30042.785109429802</v>
      </c>
      <c r="AF168" s="153"/>
      <c r="AG168" s="150"/>
      <c r="AH168" s="261" t="s">
        <v>53</v>
      </c>
      <c r="AI168" s="261"/>
      <c r="AJ168" s="190">
        <f>SUM(AJ161:AJ167)</f>
        <v>29692.945466544665</v>
      </c>
    </row>
    <row r="169" spans="2:36" x14ac:dyDescent="0.45">
      <c r="B169" s="153"/>
      <c r="C169" s="153"/>
      <c r="D169" s="256" t="s">
        <v>116</v>
      </c>
      <c r="E169" s="256"/>
      <c r="F169" s="147">
        <v>32000</v>
      </c>
      <c r="H169" s="153"/>
      <c r="I169" s="153"/>
      <c r="J169" s="256" t="s">
        <v>116</v>
      </c>
      <c r="K169" s="256"/>
      <c r="L169" s="147">
        <v>32000</v>
      </c>
      <c r="N169" s="153"/>
      <c r="O169" s="153"/>
      <c r="P169" s="256" t="s">
        <v>116</v>
      </c>
      <c r="Q169" s="256"/>
      <c r="R169" s="147">
        <v>32000</v>
      </c>
      <c r="T169" s="153"/>
      <c r="U169" s="153"/>
      <c r="V169" s="256" t="s">
        <v>116</v>
      </c>
      <c r="W169" s="256"/>
      <c r="X169" s="147">
        <v>49000</v>
      </c>
      <c r="Z169" s="153"/>
      <c r="AA169" s="153"/>
      <c r="AB169" s="256" t="s">
        <v>116</v>
      </c>
      <c r="AC169" s="256"/>
      <c r="AD169" s="147">
        <v>49000</v>
      </c>
      <c r="AF169" s="153"/>
      <c r="AG169" s="153"/>
      <c r="AH169" s="256" t="s">
        <v>116</v>
      </c>
      <c r="AI169" s="256"/>
      <c r="AJ169" s="147">
        <v>49000</v>
      </c>
    </row>
    <row r="170" spans="2:36" x14ac:dyDescent="0.45">
      <c r="B170" s="153"/>
      <c r="C170" s="153"/>
      <c r="D170" s="256" t="s">
        <v>119</v>
      </c>
      <c r="E170" s="256"/>
      <c r="F170" s="148">
        <f>F169-F168</f>
        <v>12445.375987071271</v>
      </c>
      <c r="H170" s="153"/>
      <c r="I170" s="153"/>
      <c r="J170" s="256" t="s">
        <v>119</v>
      </c>
      <c r="K170" s="256"/>
      <c r="L170" s="148">
        <f>L169-L168</f>
        <v>12392.985051808853</v>
      </c>
      <c r="N170" s="153"/>
      <c r="O170" s="153"/>
      <c r="P170" s="256" t="s">
        <v>119</v>
      </c>
      <c r="Q170" s="256"/>
      <c r="R170" s="148">
        <f>R169-R168</f>
        <v>12742.824694693991</v>
      </c>
      <c r="T170" s="153"/>
      <c r="U170" s="153"/>
      <c r="V170" s="256" t="s">
        <v>119</v>
      </c>
      <c r="W170" s="256"/>
      <c r="X170" s="148">
        <f>X169-X168</f>
        <v>19009.605825832619</v>
      </c>
      <c r="Z170" s="153"/>
      <c r="AA170" s="153"/>
      <c r="AB170" s="256" t="s">
        <v>119</v>
      </c>
      <c r="AC170" s="256"/>
      <c r="AD170" s="148">
        <f>AD169-AD168</f>
        <v>18957.214890570198</v>
      </c>
      <c r="AF170" s="153"/>
      <c r="AG170" s="153"/>
      <c r="AH170" s="256" t="s">
        <v>119</v>
      </c>
      <c r="AI170" s="256"/>
      <c r="AJ170" s="148">
        <f>AJ169-AJ168</f>
        <v>19307.054533455335</v>
      </c>
    </row>
    <row r="172" spans="2:36" ht="14.65" thickBot="1" x14ac:dyDescent="0.5">
      <c r="B172" s="2" t="s">
        <v>256</v>
      </c>
      <c r="H172" s="2" t="s">
        <v>260</v>
      </c>
      <c r="N172" s="2" t="s">
        <v>307</v>
      </c>
      <c r="T172" s="2" t="s">
        <v>256</v>
      </c>
      <c r="Z172" s="2" t="s">
        <v>260</v>
      </c>
      <c r="AF172" s="2" t="s">
        <v>307</v>
      </c>
    </row>
    <row r="173" spans="2:36" x14ac:dyDescent="0.45">
      <c r="B173" s="119" t="s">
        <v>0</v>
      </c>
      <c r="C173" s="119" t="s">
        <v>49</v>
      </c>
      <c r="D173" s="119" t="s">
        <v>34</v>
      </c>
      <c r="E173" s="119" t="s">
        <v>50</v>
      </c>
      <c r="F173" s="119" t="s">
        <v>36</v>
      </c>
      <c r="H173" s="119" t="s">
        <v>0</v>
      </c>
      <c r="I173" s="119" t="s">
        <v>49</v>
      </c>
      <c r="J173" s="119" t="s">
        <v>34</v>
      </c>
      <c r="K173" s="119" t="s">
        <v>50</v>
      </c>
      <c r="L173" s="119" t="s">
        <v>36</v>
      </c>
      <c r="N173" s="119" t="s">
        <v>0</v>
      </c>
      <c r="O173" s="119" t="s">
        <v>49</v>
      </c>
      <c r="P173" s="119" t="s">
        <v>34</v>
      </c>
      <c r="Q173" s="119" t="s">
        <v>50</v>
      </c>
      <c r="R173" s="119" t="s">
        <v>36</v>
      </c>
      <c r="T173" s="119" t="s">
        <v>0</v>
      </c>
      <c r="U173" s="119" t="s">
        <v>49</v>
      </c>
      <c r="V173" s="119" t="s">
        <v>34</v>
      </c>
      <c r="W173" s="119" t="s">
        <v>50</v>
      </c>
      <c r="X173" s="119" t="s">
        <v>36</v>
      </c>
      <c r="Z173" s="119" t="s">
        <v>0</v>
      </c>
      <c r="AA173" s="119" t="s">
        <v>49</v>
      </c>
      <c r="AB173" s="119" t="s">
        <v>34</v>
      </c>
      <c r="AC173" s="119" t="s">
        <v>50</v>
      </c>
      <c r="AD173" s="119" t="s">
        <v>36</v>
      </c>
      <c r="AF173" s="119" t="s">
        <v>0</v>
      </c>
      <c r="AG173" s="119" t="s">
        <v>49</v>
      </c>
      <c r="AH173" s="119" t="s">
        <v>34</v>
      </c>
      <c r="AI173" s="119" t="s">
        <v>50</v>
      </c>
      <c r="AJ173" s="119" t="s">
        <v>36</v>
      </c>
    </row>
    <row r="174" spans="2:36" x14ac:dyDescent="0.45">
      <c r="B174" s="141">
        <v>1</v>
      </c>
      <c r="C174" s="142" t="s">
        <v>112</v>
      </c>
      <c r="D174" s="141">
        <v>1</v>
      </c>
      <c r="E174" s="141" t="s">
        <v>6</v>
      </c>
      <c r="F174" s="143">
        <f>D174*'Daftar HPP'!$L$57</f>
        <v>4875.7315789473687</v>
      </c>
      <c r="H174" s="141">
        <v>1</v>
      </c>
      <c r="I174" s="142" t="s">
        <v>112</v>
      </c>
      <c r="J174" s="141">
        <v>1</v>
      </c>
      <c r="K174" s="141" t="s">
        <v>6</v>
      </c>
      <c r="L174" s="143">
        <f>J174*'Daftar HPP'!$L$57</f>
        <v>4875.7315789473687</v>
      </c>
      <c r="N174" s="141">
        <v>1</v>
      </c>
      <c r="O174" s="142" t="s">
        <v>112</v>
      </c>
      <c r="P174" s="141">
        <v>1</v>
      </c>
      <c r="Q174" s="141" t="s">
        <v>6</v>
      </c>
      <c r="R174" s="143">
        <f>P174*'Daftar HPP'!$L$57</f>
        <v>4875.7315789473687</v>
      </c>
      <c r="T174" s="141">
        <v>1</v>
      </c>
      <c r="U174" s="142" t="s">
        <v>112</v>
      </c>
      <c r="V174" s="141">
        <v>2</v>
      </c>
      <c r="W174" s="141" t="s">
        <v>6</v>
      </c>
      <c r="X174" s="143">
        <f>V174*'Daftar HPP'!$L$57</f>
        <v>9751.4631578947374</v>
      </c>
      <c r="Z174" s="141">
        <v>1</v>
      </c>
      <c r="AA174" s="142" t="s">
        <v>112</v>
      </c>
      <c r="AB174" s="141">
        <v>2</v>
      </c>
      <c r="AC174" s="141" t="s">
        <v>6</v>
      </c>
      <c r="AD174" s="143">
        <f>AB174*'Daftar HPP'!$L$57</f>
        <v>9751.4631578947374</v>
      </c>
      <c r="AF174" s="141">
        <v>1</v>
      </c>
      <c r="AG174" s="142" t="s">
        <v>112</v>
      </c>
      <c r="AH174" s="141">
        <v>2</v>
      </c>
      <c r="AI174" s="141" t="s">
        <v>6</v>
      </c>
      <c r="AJ174" s="143">
        <f>AH174*'Daftar HPP'!$L$57</f>
        <v>9751.4631578947374</v>
      </c>
    </row>
    <row r="175" spans="2:36" x14ac:dyDescent="0.45">
      <c r="B175" s="141">
        <v>2</v>
      </c>
      <c r="C175" s="142" t="s">
        <v>21</v>
      </c>
      <c r="D175" s="141">
        <v>40</v>
      </c>
      <c r="E175" s="141" t="s">
        <v>8</v>
      </c>
      <c r="F175" s="143">
        <f>D175*'Daftar HPP'!$F$131</f>
        <v>1730.1435406698565</v>
      </c>
      <c r="H175" s="141">
        <v>2</v>
      </c>
      <c r="I175" s="142" t="s">
        <v>21</v>
      </c>
      <c r="J175" s="141">
        <v>40</v>
      </c>
      <c r="K175" s="141" t="s">
        <v>8</v>
      </c>
      <c r="L175" s="143">
        <f>J175*'Daftar HPP'!$F$131</f>
        <v>1730.1435406698565</v>
      </c>
      <c r="N175" s="141">
        <v>2</v>
      </c>
      <c r="O175" s="142" t="s">
        <v>21</v>
      </c>
      <c r="P175" s="141">
        <v>40</v>
      </c>
      <c r="Q175" s="141" t="s">
        <v>8</v>
      </c>
      <c r="R175" s="143">
        <f>P175*'Daftar HPP'!$F$131</f>
        <v>1730.1435406698565</v>
      </c>
      <c r="T175" s="141">
        <v>2</v>
      </c>
      <c r="U175" s="142" t="s">
        <v>21</v>
      </c>
      <c r="V175" s="141">
        <v>80</v>
      </c>
      <c r="W175" s="141" t="s">
        <v>8</v>
      </c>
      <c r="X175" s="143">
        <f>V175*'Daftar HPP'!$F$131</f>
        <v>3460.287081339713</v>
      </c>
      <c r="Z175" s="141">
        <v>2</v>
      </c>
      <c r="AA175" s="142" t="s">
        <v>21</v>
      </c>
      <c r="AB175" s="141">
        <v>80</v>
      </c>
      <c r="AC175" s="141" t="s">
        <v>8</v>
      </c>
      <c r="AD175" s="143">
        <f>AB175*'Daftar HPP'!$F$131</f>
        <v>3460.287081339713</v>
      </c>
      <c r="AF175" s="141">
        <v>2</v>
      </c>
      <c r="AG175" s="142" t="s">
        <v>21</v>
      </c>
      <c r="AH175" s="141">
        <v>80</v>
      </c>
      <c r="AI175" s="141" t="s">
        <v>8</v>
      </c>
      <c r="AJ175" s="143">
        <f>AH175*'Daftar HPP'!$F$131</f>
        <v>3460.287081339713</v>
      </c>
    </row>
    <row r="176" spans="2:36" x14ac:dyDescent="0.45">
      <c r="B176" s="141">
        <v>3</v>
      </c>
      <c r="C176" s="142" t="s">
        <v>254</v>
      </c>
      <c r="D176" s="141">
        <v>1</v>
      </c>
      <c r="E176" s="141" t="s">
        <v>118</v>
      </c>
      <c r="F176" s="143">
        <f>D176*'Daftar HPP'!$F$105</f>
        <v>7659.7900832428531</v>
      </c>
      <c r="H176" s="141">
        <v>3</v>
      </c>
      <c r="I176" s="142" t="s">
        <v>254</v>
      </c>
      <c r="J176" s="141">
        <v>1</v>
      </c>
      <c r="K176" s="141" t="s">
        <v>118</v>
      </c>
      <c r="L176" s="143">
        <f>J176*'Daftar HPP'!$F$105</f>
        <v>7659.7900832428531</v>
      </c>
      <c r="N176" s="141">
        <v>3</v>
      </c>
      <c r="O176" s="142" t="s">
        <v>254</v>
      </c>
      <c r="P176" s="141">
        <v>1</v>
      </c>
      <c r="Q176" s="141" t="s">
        <v>118</v>
      </c>
      <c r="R176" s="143">
        <f>P176*'Daftar HPP'!$F$105</f>
        <v>7659.7900832428531</v>
      </c>
      <c r="T176" s="141">
        <v>3</v>
      </c>
      <c r="U176" s="142" t="s">
        <v>269</v>
      </c>
      <c r="V176" s="141">
        <v>1</v>
      </c>
      <c r="W176" s="141" t="s">
        <v>118</v>
      </c>
      <c r="X176" s="143">
        <f>V176*'Daftar HPP'!$L$96</f>
        <v>11489.68512486428</v>
      </c>
      <c r="Z176" s="141">
        <v>3</v>
      </c>
      <c r="AA176" s="142" t="s">
        <v>269</v>
      </c>
      <c r="AB176" s="141">
        <v>1</v>
      </c>
      <c r="AC176" s="141" t="s">
        <v>118</v>
      </c>
      <c r="AD176" s="143">
        <f>AB176*'Daftar HPP'!$L$96</f>
        <v>11489.68512486428</v>
      </c>
      <c r="AF176" s="141">
        <v>3</v>
      </c>
      <c r="AG176" s="142" t="s">
        <v>269</v>
      </c>
      <c r="AH176" s="141">
        <v>1</v>
      </c>
      <c r="AI176" s="141" t="s">
        <v>118</v>
      </c>
      <c r="AJ176" s="143">
        <f>AH176*'Daftar HPP'!$L$96</f>
        <v>11489.68512486428</v>
      </c>
    </row>
    <row r="177" spans="2:36" x14ac:dyDescent="0.45">
      <c r="B177" s="141">
        <v>4</v>
      </c>
      <c r="C177" s="142" t="s">
        <v>17</v>
      </c>
      <c r="D177" s="141">
        <v>30</v>
      </c>
      <c r="E177" s="141" t="s">
        <v>8</v>
      </c>
      <c r="F177" s="144">
        <f>D177*'Daftar HPP'!$F$152</f>
        <v>2093.9588100686497</v>
      </c>
      <c r="H177" s="141">
        <v>4</v>
      </c>
      <c r="I177" s="142" t="s">
        <v>25</v>
      </c>
      <c r="J177" s="141">
        <v>30</v>
      </c>
      <c r="K177" s="141" t="s">
        <v>8</v>
      </c>
      <c r="L177" s="144">
        <f>J177*'Daftar HPP'!$G$22</f>
        <v>1995</v>
      </c>
      <c r="N177" s="141">
        <v>4</v>
      </c>
      <c r="O177" s="142" t="s">
        <v>107</v>
      </c>
      <c r="P177" s="141">
        <v>30</v>
      </c>
      <c r="Q177" s="141" t="s">
        <v>8</v>
      </c>
      <c r="R177" s="144">
        <f>P177*'Daftar HPP'!$L$152</f>
        <v>2144.1036802532649</v>
      </c>
      <c r="T177" s="141">
        <v>4</v>
      </c>
      <c r="U177" s="142" t="s">
        <v>17</v>
      </c>
      <c r="V177" s="141">
        <v>30</v>
      </c>
      <c r="W177" s="141" t="s">
        <v>8</v>
      </c>
      <c r="X177" s="144">
        <f>V177*'Daftar HPP'!$F$152</f>
        <v>2093.9588100686497</v>
      </c>
      <c r="Z177" s="141">
        <v>4</v>
      </c>
      <c r="AA177" s="142" t="s">
        <v>25</v>
      </c>
      <c r="AB177" s="141">
        <v>30</v>
      </c>
      <c r="AC177" s="141" t="s">
        <v>8</v>
      </c>
      <c r="AD177" s="144">
        <f>AB177*'Daftar HPP'!$G$22</f>
        <v>1995</v>
      </c>
      <c r="AF177" s="141">
        <v>4</v>
      </c>
      <c r="AG177" s="142" t="s">
        <v>107</v>
      </c>
      <c r="AH177" s="141">
        <v>30</v>
      </c>
      <c r="AI177" s="141" t="s">
        <v>8</v>
      </c>
      <c r="AJ177" s="144">
        <f>AH177*'Daftar HPP'!$L$152</f>
        <v>2144.1036802532649</v>
      </c>
    </row>
    <row r="178" spans="2:36" x14ac:dyDescent="0.45">
      <c r="B178" s="141">
        <v>5</v>
      </c>
      <c r="C178" s="142" t="s">
        <v>105</v>
      </c>
      <c r="D178" s="141">
        <v>30</v>
      </c>
      <c r="E178" s="141" t="s">
        <v>8</v>
      </c>
      <c r="F178" s="144">
        <f>D178*'Daftar HPP'!$F$143</f>
        <v>2146.3497453310692</v>
      </c>
      <c r="H178" s="141">
        <v>5</v>
      </c>
      <c r="I178" s="142" t="s">
        <v>107</v>
      </c>
      <c r="J178" s="141">
        <v>30</v>
      </c>
      <c r="K178" s="141" t="s">
        <v>8</v>
      </c>
      <c r="L178" s="144">
        <f>J178*'Daftar HPP'!$L$152</f>
        <v>2144.1036802532649</v>
      </c>
      <c r="N178" s="141">
        <v>5</v>
      </c>
      <c r="O178" s="142" t="s">
        <v>26</v>
      </c>
      <c r="P178" s="141">
        <v>30</v>
      </c>
      <c r="Q178" s="141" t="s">
        <v>8</v>
      </c>
      <c r="R178" s="144">
        <f>P178*'Daftar HPP'!$L$143</f>
        <v>1647.4064221926658</v>
      </c>
      <c r="T178" s="141">
        <v>5</v>
      </c>
      <c r="U178" s="142" t="s">
        <v>105</v>
      </c>
      <c r="V178" s="141">
        <v>30</v>
      </c>
      <c r="W178" s="141" t="s">
        <v>8</v>
      </c>
      <c r="X178" s="144">
        <f>V178*'Daftar HPP'!$F$143</f>
        <v>2146.3497453310692</v>
      </c>
      <c r="Z178" s="141">
        <v>5</v>
      </c>
      <c r="AA178" s="142" t="s">
        <v>107</v>
      </c>
      <c r="AB178" s="141">
        <v>30</v>
      </c>
      <c r="AC178" s="141" t="s">
        <v>8</v>
      </c>
      <c r="AD178" s="144">
        <f>AB178*'Daftar HPP'!$L$152</f>
        <v>2144.1036802532649</v>
      </c>
      <c r="AF178" s="141">
        <v>5</v>
      </c>
      <c r="AG178" s="142" t="s">
        <v>26</v>
      </c>
      <c r="AH178" s="141">
        <v>30</v>
      </c>
      <c r="AI178" s="141" t="s">
        <v>8</v>
      </c>
      <c r="AJ178" s="144">
        <f>AH178*'Daftar HPP'!$L$143</f>
        <v>1647.4064221926658</v>
      </c>
    </row>
    <row r="179" spans="2:36" x14ac:dyDescent="0.45">
      <c r="B179" s="141">
        <v>6</v>
      </c>
      <c r="C179" s="142" t="s">
        <v>270</v>
      </c>
      <c r="D179" s="141">
        <v>1</v>
      </c>
      <c r="E179" s="141" t="s">
        <v>8</v>
      </c>
      <c r="F179" s="144">
        <f>D179*'Daftar HPP'!$G$33</f>
        <v>100</v>
      </c>
      <c r="H179" s="141">
        <v>6</v>
      </c>
      <c r="I179" s="142" t="s">
        <v>270</v>
      </c>
      <c r="J179" s="141">
        <v>1</v>
      </c>
      <c r="K179" s="141" t="s">
        <v>8</v>
      </c>
      <c r="L179" s="144">
        <f>J179*'Daftar HPP'!$G$33</f>
        <v>100</v>
      </c>
      <c r="N179" s="141">
        <v>6</v>
      </c>
      <c r="O179" s="142" t="s">
        <v>270</v>
      </c>
      <c r="P179" s="141">
        <v>1</v>
      </c>
      <c r="Q179" s="141" t="s">
        <v>8</v>
      </c>
      <c r="R179" s="144">
        <f>P179*'Daftar HPP'!$G$33</f>
        <v>100</v>
      </c>
      <c r="T179" s="141">
        <v>6</v>
      </c>
      <c r="U179" s="142" t="s">
        <v>270</v>
      </c>
      <c r="V179" s="141">
        <v>1</v>
      </c>
      <c r="W179" s="141" t="s">
        <v>8</v>
      </c>
      <c r="X179" s="144">
        <f>V179*'Daftar HPP'!$G$33</f>
        <v>100</v>
      </c>
      <c r="Z179" s="141">
        <v>6</v>
      </c>
      <c r="AA179" s="142" t="s">
        <v>270</v>
      </c>
      <c r="AB179" s="141">
        <v>1</v>
      </c>
      <c r="AC179" s="141" t="s">
        <v>8</v>
      </c>
      <c r="AD179" s="144">
        <f>AB179*'Daftar HPP'!$G$33</f>
        <v>100</v>
      </c>
      <c r="AF179" s="141">
        <v>6</v>
      </c>
      <c r="AG179" s="142" t="s">
        <v>270</v>
      </c>
      <c r="AH179" s="141">
        <v>1</v>
      </c>
      <c r="AI179" s="141" t="s">
        <v>8</v>
      </c>
      <c r="AJ179" s="144">
        <f>AH179*'Daftar HPP'!$G$33</f>
        <v>100</v>
      </c>
    </row>
    <row r="180" spans="2:36" x14ac:dyDescent="0.45">
      <c r="B180" s="141">
        <v>7</v>
      </c>
      <c r="C180" s="142" t="s">
        <v>251</v>
      </c>
      <c r="D180" s="141">
        <v>1</v>
      </c>
      <c r="E180" s="141" t="s">
        <v>28</v>
      </c>
      <c r="F180" s="144">
        <f>D180*'Daftar HPP'!$G$39</f>
        <v>1100</v>
      </c>
      <c r="H180" s="141">
        <v>7</v>
      </c>
      <c r="I180" s="142" t="s">
        <v>251</v>
      </c>
      <c r="J180" s="141">
        <v>1</v>
      </c>
      <c r="K180" s="141" t="s">
        <v>28</v>
      </c>
      <c r="L180" s="144">
        <f>J180*'Daftar HPP'!$G$39</f>
        <v>1100</v>
      </c>
      <c r="N180" s="141">
        <v>7</v>
      </c>
      <c r="O180" s="142" t="s">
        <v>251</v>
      </c>
      <c r="P180" s="141">
        <v>1</v>
      </c>
      <c r="Q180" s="141" t="s">
        <v>28</v>
      </c>
      <c r="R180" s="144">
        <f>P180*'Daftar HPP'!$G$39</f>
        <v>1100</v>
      </c>
      <c r="T180" s="141">
        <v>7</v>
      </c>
      <c r="U180" s="142" t="s">
        <v>251</v>
      </c>
      <c r="V180" s="141">
        <v>1</v>
      </c>
      <c r="W180" s="141" t="s">
        <v>28</v>
      </c>
      <c r="X180" s="144">
        <f>V180*'Daftar HPP'!$G$39</f>
        <v>1100</v>
      </c>
      <c r="Z180" s="141">
        <v>7</v>
      </c>
      <c r="AA180" s="142" t="s">
        <v>251</v>
      </c>
      <c r="AB180" s="141">
        <v>1</v>
      </c>
      <c r="AC180" s="141" t="s">
        <v>28</v>
      </c>
      <c r="AD180" s="144">
        <f>AB180*'Daftar HPP'!$G$39</f>
        <v>1100</v>
      </c>
      <c r="AF180" s="141">
        <v>7</v>
      </c>
      <c r="AG180" s="142" t="s">
        <v>251</v>
      </c>
      <c r="AH180" s="141">
        <v>1</v>
      </c>
      <c r="AI180" s="141" t="s">
        <v>28</v>
      </c>
      <c r="AJ180" s="144">
        <f>AH180*'Daftar HPP'!$G$39</f>
        <v>1100</v>
      </c>
    </row>
    <row r="181" spans="2:36" x14ac:dyDescent="0.45">
      <c r="B181" s="153"/>
      <c r="C181" s="150"/>
      <c r="D181" s="261" t="s">
        <v>53</v>
      </c>
      <c r="E181" s="261"/>
      <c r="F181" s="190">
        <f>SUM(F174:F180)</f>
        <v>19705.973758259799</v>
      </c>
      <c r="H181" s="153"/>
      <c r="I181" s="150"/>
      <c r="J181" s="261" t="s">
        <v>53</v>
      </c>
      <c r="K181" s="261"/>
      <c r="L181" s="190">
        <f>SUM(L174:L180)</f>
        <v>19604.768883113342</v>
      </c>
      <c r="N181" s="153"/>
      <c r="O181" s="150"/>
      <c r="P181" s="261" t="s">
        <v>53</v>
      </c>
      <c r="Q181" s="261"/>
      <c r="R181" s="190">
        <f>SUM(R174:R180)</f>
        <v>19257.175305306009</v>
      </c>
      <c r="T181" s="153"/>
      <c r="U181" s="150"/>
      <c r="V181" s="261" t="s">
        <v>53</v>
      </c>
      <c r="W181" s="261"/>
      <c r="X181" s="190">
        <f>SUM(X174:X180)</f>
        <v>30141.743919498451</v>
      </c>
      <c r="Z181" s="153"/>
      <c r="AA181" s="150"/>
      <c r="AB181" s="261" t="s">
        <v>53</v>
      </c>
      <c r="AC181" s="261"/>
      <c r="AD181" s="190">
        <f>SUM(AD174:AD180)</f>
        <v>30040.539044351997</v>
      </c>
      <c r="AF181" s="153"/>
      <c r="AG181" s="150"/>
      <c r="AH181" s="261" t="s">
        <v>53</v>
      </c>
      <c r="AI181" s="261"/>
      <c r="AJ181" s="190">
        <f>SUM(AJ174:AJ180)</f>
        <v>29692.945466544665</v>
      </c>
    </row>
    <row r="182" spans="2:36" x14ac:dyDescent="0.45">
      <c r="B182" s="153"/>
      <c r="C182" s="153"/>
      <c r="D182" s="256" t="s">
        <v>116</v>
      </c>
      <c r="E182" s="256"/>
      <c r="F182" s="147">
        <v>32000</v>
      </c>
      <c r="H182" s="153"/>
      <c r="I182" s="153"/>
      <c r="J182" s="256" t="s">
        <v>116</v>
      </c>
      <c r="K182" s="256"/>
      <c r="L182" s="147">
        <v>32000</v>
      </c>
      <c r="N182" s="153"/>
      <c r="O182" s="153"/>
      <c r="P182" s="256" t="s">
        <v>116</v>
      </c>
      <c r="Q182" s="256"/>
      <c r="R182" s="147">
        <v>32000</v>
      </c>
      <c r="T182" s="153"/>
      <c r="U182" s="153"/>
      <c r="V182" s="256" t="s">
        <v>116</v>
      </c>
      <c r="W182" s="256"/>
      <c r="X182" s="147">
        <v>49000</v>
      </c>
      <c r="Z182" s="153"/>
      <c r="AA182" s="153"/>
      <c r="AB182" s="256" t="s">
        <v>116</v>
      </c>
      <c r="AC182" s="256"/>
      <c r="AD182" s="147">
        <v>49000</v>
      </c>
      <c r="AF182" s="153"/>
      <c r="AG182" s="153"/>
      <c r="AH182" s="256" t="s">
        <v>116</v>
      </c>
      <c r="AI182" s="256"/>
      <c r="AJ182" s="147">
        <v>49000</v>
      </c>
    </row>
    <row r="183" spans="2:36" x14ac:dyDescent="0.45">
      <c r="B183" s="153"/>
      <c r="C183" s="153"/>
      <c r="D183" s="256" t="s">
        <v>119</v>
      </c>
      <c r="E183" s="256"/>
      <c r="F183" s="148">
        <f>F182-F181</f>
        <v>12294.026241740201</v>
      </c>
      <c r="H183" s="153"/>
      <c r="I183" s="153"/>
      <c r="J183" s="256" t="s">
        <v>119</v>
      </c>
      <c r="K183" s="256"/>
      <c r="L183" s="148">
        <f>L182-L181</f>
        <v>12395.231116886658</v>
      </c>
      <c r="N183" s="153"/>
      <c r="O183" s="153"/>
      <c r="P183" s="256" t="s">
        <v>119</v>
      </c>
      <c r="Q183" s="256"/>
      <c r="R183" s="148">
        <f>R182-R181</f>
        <v>12742.824694693991</v>
      </c>
      <c r="T183" s="153"/>
      <c r="U183" s="153"/>
      <c r="V183" s="256" t="s">
        <v>119</v>
      </c>
      <c r="W183" s="256"/>
      <c r="X183" s="148">
        <f>X182-X181</f>
        <v>18858.256080501549</v>
      </c>
      <c r="Z183" s="153"/>
      <c r="AA183" s="153"/>
      <c r="AB183" s="256" t="s">
        <v>119</v>
      </c>
      <c r="AC183" s="256"/>
      <c r="AD183" s="148">
        <f>AD182-AD181</f>
        <v>18959.460955648003</v>
      </c>
      <c r="AF183" s="153"/>
      <c r="AG183" s="153"/>
      <c r="AH183" s="256" t="s">
        <v>119</v>
      </c>
      <c r="AI183" s="256"/>
      <c r="AJ183" s="148">
        <f>AJ182-AJ181</f>
        <v>19307.054533455335</v>
      </c>
    </row>
    <row r="185" spans="2:36" ht="14.65" thickBot="1" x14ac:dyDescent="0.5">
      <c r="B185" s="2" t="s">
        <v>257</v>
      </c>
      <c r="H185" s="2" t="s">
        <v>261</v>
      </c>
      <c r="T185" s="2" t="s">
        <v>257</v>
      </c>
      <c r="Z185" s="2" t="s">
        <v>261</v>
      </c>
    </row>
    <row r="186" spans="2:36" x14ac:dyDescent="0.45">
      <c r="B186" s="119" t="s">
        <v>0</v>
      </c>
      <c r="C186" s="119" t="s">
        <v>49</v>
      </c>
      <c r="D186" s="119" t="s">
        <v>34</v>
      </c>
      <c r="E186" s="119" t="s">
        <v>50</v>
      </c>
      <c r="F186" s="119" t="s">
        <v>36</v>
      </c>
      <c r="H186" s="119" t="s">
        <v>0</v>
      </c>
      <c r="I186" s="119" t="s">
        <v>49</v>
      </c>
      <c r="J186" s="119" t="s">
        <v>34</v>
      </c>
      <c r="K186" s="119" t="s">
        <v>50</v>
      </c>
      <c r="L186" s="119" t="s">
        <v>36</v>
      </c>
      <c r="T186" s="119" t="s">
        <v>0</v>
      </c>
      <c r="U186" s="119" t="s">
        <v>49</v>
      </c>
      <c r="V186" s="119" t="s">
        <v>34</v>
      </c>
      <c r="W186" s="119" t="s">
        <v>50</v>
      </c>
      <c r="X186" s="119" t="s">
        <v>36</v>
      </c>
      <c r="Z186" s="119" t="s">
        <v>0</v>
      </c>
      <c r="AA186" s="119" t="s">
        <v>49</v>
      </c>
      <c r="AB186" s="119" t="s">
        <v>34</v>
      </c>
      <c r="AC186" s="119" t="s">
        <v>50</v>
      </c>
      <c r="AD186" s="119" t="s">
        <v>36</v>
      </c>
    </row>
    <row r="187" spans="2:36" x14ac:dyDescent="0.45">
      <c r="B187" s="141">
        <v>1</v>
      </c>
      <c r="C187" s="142" t="s">
        <v>112</v>
      </c>
      <c r="D187" s="141">
        <v>1</v>
      </c>
      <c r="E187" s="141" t="s">
        <v>6</v>
      </c>
      <c r="F187" s="143">
        <f>D187*'Daftar HPP'!$L$57</f>
        <v>4875.7315789473687</v>
      </c>
      <c r="H187" s="141">
        <v>1</v>
      </c>
      <c r="I187" s="142" t="s">
        <v>112</v>
      </c>
      <c r="J187" s="141">
        <v>1</v>
      </c>
      <c r="K187" s="141" t="s">
        <v>6</v>
      </c>
      <c r="L187" s="143">
        <f>J187*'Daftar HPP'!$L$57</f>
        <v>4875.7315789473687</v>
      </c>
      <c r="T187" s="141">
        <v>1</v>
      </c>
      <c r="U187" s="142" t="s">
        <v>112</v>
      </c>
      <c r="V187" s="141">
        <v>2</v>
      </c>
      <c r="W187" s="141" t="s">
        <v>6</v>
      </c>
      <c r="X187" s="143">
        <f>V187*'Daftar HPP'!$L$57</f>
        <v>9751.4631578947374</v>
      </c>
      <c r="Z187" s="141">
        <v>1</v>
      </c>
      <c r="AA187" s="142" t="s">
        <v>112</v>
      </c>
      <c r="AB187" s="141">
        <v>2</v>
      </c>
      <c r="AC187" s="141" t="s">
        <v>6</v>
      </c>
      <c r="AD187" s="143">
        <f>AB187*'Daftar HPP'!$L$57</f>
        <v>9751.4631578947374</v>
      </c>
    </row>
    <row r="188" spans="2:36" x14ac:dyDescent="0.45">
      <c r="B188" s="141">
        <v>2</v>
      </c>
      <c r="C188" s="142" t="s">
        <v>21</v>
      </c>
      <c r="D188" s="141">
        <v>40</v>
      </c>
      <c r="E188" s="141" t="s">
        <v>8</v>
      </c>
      <c r="F188" s="143">
        <f>D188*'Daftar HPP'!$F$131</f>
        <v>1730.1435406698565</v>
      </c>
      <c r="H188" s="141">
        <v>2</v>
      </c>
      <c r="I188" s="142" t="s">
        <v>21</v>
      </c>
      <c r="J188" s="141">
        <v>40</v>
      </c>
      <c r="K188" s="141" t="s">
        <v>8</v>
      </c>
      <c r="L188" s="143">
        <f>J188*'Daftar HPP'!$F$131</f>
        <v>1730.1435406698565</v>
      </c>
      <c r="T188" s="141">
        <v>2</v>
      </c>
      <c r="U188" s="142" t="s">
        <v>21</v>
      </c>
      <c r="V188" s="141">
        <v>80</v>
      </c>
      <c r="W188" s="141" t="s">
        <v>8</v>
      </c>
      <c r="X188" s="143">
        <f>V188*'Daftar HPP'!$F$131</f>
        <v>3460.287081339713</v>
      </c>
      <c r="Z188" s="141">
        <v>2</v>
      </c>
      <c r="AA188" s="142" t="s">
        <v>21</v>
      </c>
      <c r="AB188" s="141">
        <v>80</v>
      </c>
      <c r="AC188" s="141" t="s">
        <v>8</v>
      </c>
      <c r="AD188" s="143">
        <f>AB188*'Daftar HPP'!$F$131</f>
        <v>3460.287081339713</v>
      </c>
    </row>
    <row r="189" spans="2:36" x14ac:dyDescent="0.45">
      <c r="B189" s="141">
        <v>3</v>
      </c>
      <c r="C189" s="142" t="s">
        <v>254</v>
      </c>
      <c r="D189" s="141">
        <v>1</v>
      </c>
      <c r="E189" s="141" t="s">
        <v>118</v>
      </c>
      <c r="F189" s="143">
        <f>D189*'Daftar HPP'!$F$105</f>
        <v>7659.7900832428531</v>
      </c>
      <c r="H189" s="141">
        <v>3</v>
      </c>
      <c r="I189" s="142" t="s">
        <v>254</v>
      </c>
      <c r="J189" s="141">
        <v>1</v>
      </c>
      <c r="K189" s="141" t="s">
        <v>118</v>
      </c>
      <c r="L189" s="143">
        <f>J189*'Daftar HPP'!$F$105</f>
        <v>7659.7900832428531</v>
      </c>
      <c r="T189" s="141">
        <v>3</v>
      </c>
      <c r="U189" s="142" t="s">
        <v>269</v>
      </c>
      <c r="V189" s="141">
        <v>1</v>
      </c>
      <c r="W189" s="141" t="s">
        <v>118</v>
      </c>
      <c r="X189" s="143">
        <f>V189*'Daftar HPP'!$L$96</f>
        <v>11489.68512486428</v>
      </c>
      <c r="Z189" s="141">
        <v>3</v>
      </c>
      <c r="AA189" s="142" t="s">
        <v>269</v>
      </c>
      <c r="AB189" s="141">
        <v>1</v>
      </c>
      <c r="AC189" s="141" t="s">
        <v>118</v>
      </c>
      <c r="AD189" s="143">
        <f>AB189*'Daftar HPP'!$L$96</f>
        <v>11489.68512486428</v>
      </c>
    </row>
    <row r="190" spans="2:36" x14ac:dyDescent="0.45">
      <c r="B190" s="141">
        <v>4</v>
      </c>
      <c r="C190" s="142" t="s">
        <v>17</v>
      </c>
      <c r="D190" s="141">
        <v>30</v>
      </c>
      <c r="E190" s="141" t="s">
        <v>8</v>
      </c>
      <c r="F190" s="144">
        <f>D190*'Daftar HPP'!$F$152</f>
        <v>2093.9588100686497</v>
      </c>
      <c r="H190" s="141">
        <v>4</v>
      </c>
      <c r="I190" s="142" t="s">
        <v>25</v>
      </c>
      <c r="J190" s="141">
        <v>30</v>
      </c>
      <c r="K190" s="141" t="s">
        <v>8</v>
      </c>
      <c r="L190" s="144">
        <f>J190*'Daftar HPP'!$G$22</f>
        <v>1995</v>
      </c>
      <c r="T190" s="141">
        <v>4</v>
      </c>
      <c r="U190" s="142" t="s">
        <v>17</v>
      </c>
      <c r="V190" s="141">
        <v>30</v>
      </c>
      <c r="W190" s="141" t="s">
        <v>8</v>
      </c>
      <c r="X190" s="144">
        <f>V190*'Daftar HPP'!$F$152</f>
        <v>2093.9588100686497</v>
      </c>
      <c r="Z190" s="141">
        <v>4</v>
      </c>
      <c r="AA190" s="142" t="s">
        <v>25</v>
      </c>
      <c r="AB190" s="141">
        <v>30</v>
      </c>
      <c r="AC190" s="141" t="s">
        <v>8</v>
      </c>
      <c r="AD190" s="144">
        <f>AB190*'Daftar HPP'!$G$22</f>
        <v>1995</v>
      </c>
    </row>
    <row r="191" spans="2:36" x14ac:dyDescent="0.45">
      <c r="B191" s="141">
        <v>5</v>
      </c>
      <c r="C191" s="142" t="s">
        <v>107</v>
      </c>
      <c r="D191" s="141">
        <v>30</v>
      </c>
      <c r="E191" s="141" t="s">
        <v>8</v>
      </c>
      <c r="F191" s="144">
        <f>D191*'Daftar HPP'!$L$152</f>
        <v>2144.1036802532649</v>
      </c>
      <c r="H191" s="141">
        <v>5</v>
      </c>
      <c r="I191" s="142" t="s">
        <v>26</v>
      </c>
      <c r="J191" s="141">
        <v>30</v>
      </c>
      <c r="K191" s="141" t="s">
        <v>8</v>
      </c>
      <c r="L191" s="144">
        <f>J191*'Daftar HPP'!$L$143</f>
        <v>1647.4064221926658</v>
      </c>
      <c r="T191" s="141">
        <v>5</v>
      </c>
      <c r="U191" s="142" t="s">
        <v>107</v>
      </c>
      <c r="V191" s="141">
        <v>30</v>
      </c>
      <c r="W191" s="141" t="s">
        <v>8</v>
      </c>
      <c r="X191" s="144">
        <f>V191*'Daftar HPP'!$L$152</f>
        <v>2144.1036802532649</v>
      </c>
      <c r="Z191" s="141">
        <v>5</v>
      </c>
      <c r="AA191" s="142" t="s">
        <v>26</v>
      </c>
      <c r="AB191" s="141">
        <v>30</v>
      </c>
      <c r="AC191" s="141" t="s">
        <v>8</v>
      </c>
      <c r="AD191" s="144">
        <f>AB191*'Daftar HPP'!$L$143</f>
        <v>1647.4064221926658</v>
      </c>
    </row>
    <row r="192" spans="2:36" x14ac:dyDescent="0.45">
      <c r="B192" s="141">
        <v>6</v>
      </c>
      <c r="C192" s="142" t="s">
        <v>270</v>
      </c>
      <c r="D192" s="141">
        <v>1</v>
      </c>
      <c r="E192" s="141" t="s">
        <v>8</v>
      </c>
      <c r="F192" s="144">
        <f>D192*'Daftar HPP'!$G$33</f>
        <v>100</v>
      </c>
      <c r="H192" s="141">
        <v>6</v>
      </c>
      <c r="I192" s="142" t="s">
        <v>270</v>
      </c>
      <c r="J192" s="141">
        <v>1</v>
      </c>
      <c r="K192" s="141" t="s">
        <v>8</v>
      </c>
      <c r="L192" s="144">
        <f>J192*'Daftar HPP'!$G$33</f>
        <v>100</v>
      </c>
      <c r="T192" s="141">
        <v>6</v>
      </c>
      <c r="U192" s="142" t="s">
        <v>270</v>
      </c>
      <c r="V192" s="141">
        <v>1</v>
      </c>
      <c r="W192" s="141" t="s">
        <v>8</v>
      </c>
      <c r="X192" s="144">
        <f>V192*'Daftar HPP'!$G$33</f>
        <v>100</v>
      </c>
      <c r="Z192" s="141">
        <v>6</v>
      </c>
      <c r="AA192" s="142" t="s">
        <v>270</v>
      </c>
      <c r="AB192" s="141">
        <v>1</v>
      </c>
      <c r="AC192" s="141" t="s">
        <v>8</v>
      </c>
      <c r="AD192" s="144">
        <f>AB192*'Daftar HPP'!$G$33</f>
        <v>100</v>
      </c>
    </row>
    <row r="193" spans="2:30" x14ac:dyDescent="0.45">
      <c r="B193" s="141">
        <v>7</v>
      </c>
      <c r="C193" s="142" t="s">
        <v>251</v>
      </c>
      <c r="D193" s="141">
        <v>1</v>
      </c>
      <c r="E193" s="141" t="s">
        <v>28</v>
      </c>
      <c r="F193" s="144">
        <f>D193*'Daftar HPP'!$G$39</f>
        <v>1100</v>
      </c>
      <c r="H193" s="141">
        <v>7</v>
      </c>
      <c r="I193" s="142" t="s">
        <v>251</v>
      </c>
      <c r="J193" s="141">
        <v>1</v>
      </c>
      <c r="K193" s="141" t="s">
        <v>28</v>
      </c>
      <c r="L193" s="144">
        <f>J193*'Daftar HPP'!$G$39</f>
        <v>1100</v>
      </c>
      <c r="T193" s="141">
        <v>7</v>
      </c>
      <c r="U193" s="142" t="s">
        <v>251</v>
      </c>
      <c r="V193" s="141">
        <v>1</v>
      </c>
      <c r="W193" s="141" t="s">
        <v>28</v>
      </c>
      <c r="X193" s="144">
        <f>V193*'Daftar HPP'!$G$39</f>
        <v>1100</v>
      </c>
      <c r="Z193" s="141">
        <v>7</v>
      </c>
      <c r="AA193" s="142" t="s">
        <v>251</v>
      </c>
      <c r="AB193" s="141">
        <v>1</v>
      </c>
      <c r="AC193" s="141" t="s">
        <v>28</v>
      </c>
      <c r="AD193" s="144">
        <f>AB193*'Daftar HPP'!$G$39</f>
        <v>1100</v>
      </c>
    </row>
    <row r="194" spans="2:30" x14ac:dyDescent="0.45">
      <c r="B194" s="153"/>
      <c r="C194" s="150"/>
      <c r="D194" s="261" t="s">
        <v>53</v>
      </c>
      <c r="E194" s="261"/>
      <c r="F194" s="190">
        <f>SUM(F187:F193)</f>
        <v>19703.727693181994</v>
      </c>
      <c r="H194" s="153"/>
      <c r="I194" s="150"/>
      <c r="J194" s="257" t="s">
        <v>53</v>
      </c>
      <c r="K194" s="258"/>
      <c r="L194" s="190">
        <f>SUM(L187:L193)</f>
        <v>19108.071625052744</v>
      </c>
      <c r="T194" s="153"/>
      <c r="U194" s="150"/>
      <c r="V194" s="261" t="s">
        <v>53</v>
      </c>
      <c r="W194" s="261"/>
      <c r="X194" s="190">
        <f>SUM(X187:X193)</f>
        <v>30139.497854420646</v>
      </c>
      <c r="Z194" s="153"/>
      <c r="AA194" s="150"/>
      <c r="AB194" s="257" t="s">
        <v>53</v>
      </c>
      <c r="AC194" s="258"/>
      <c r="AD194" s="190">
        <f>SUM(AD187:AD193)</f>
        <v>29543.841786291399</v>
      </c>
    </row>
    <row r="195" spans="2:30" x14ac:dyDescent="0.45">
      <c r="B195" s="153"/>
      <c r="C195" s="153"/>
      <c r="D195" s="256" t="s">
        <v>116</v>
      </c>
      <c r="E195" s="256"/>
      <c r="F195" s="147">
        <v>32000</v>
      </c>
      <c r="H195" s="153"/>
      <c r="I195" s="153"/>
      <c r="J195" s="251" t="s">
        <v>116</v>
      </c>
      <c r="K195" s="252"/>
      <c r="L195" s="147">
        <v>32000</v>
      </c>
      <c r="T195" s="153"/>
      <c r="U195" s="153"/>
      <c r="V195" s="256" t="s">
        <v>116</v>
      </c>
      <c r="W195" s="256"/>
      <c r="X195" s="147">
        <v>49000</v>
      </c>
      <c r="Z195" s="153"/>
      <c r="AA195" s="153"/>
      <c r="AB195" s="251" t="s">
        <v>116</v>
      </c>
      <c r="AC195" s="252"/>
      <c r="AD195" s="147">
        <v>49000</v>
      </c>
    </row>
    <row r="196" spans="2:30" x14ac:dyDescent="0.45">
      <c r="B196" s="153"/>
      <c r="C196" s="153"/>
      <c r="D196" s="256" t="s">
        <v>119</v>
      </c>
      <c r="E196" s="256"/>
      <c r="F196" s="148">
        <f>F195-F194</f>
        <v>12296.272306818006</v>
      </c>
      <c r="H196" s="153"/>
      <c r="I196" s="153"/>
      <c r="J196" s="256" t="s">
        <v>119</v>
      </c>
      <c r="K196" s="256"/>
      <c r="L196" s="148">
        <f>L195-L194</f>
        <v>12891.928374947256</v>
      </c>
      <c r="T196" s="153"/>
      <c r="U196" s="153"/>
      <c r="V196" s="256" t="s">
        <v>119</v>
      </c>
      <c r="W196" s="256"/>
      <c r="X196" s="148">
        <f>X195-X194</f>
        <v>18860.502145579354</v>
      </c>
      <c r="Z196" s="153"/>
      <c r="AA196" s="153"/>
      <c r="AB196" s="256" t="s">
        <v>119</v>
      </c>
      <c r="AC196" s="256"/>
      <c r="AD196" s="148">
        <f>AD195-AD194</f>
        <v>19456.158213708601</v>
      </c>
    </row>
    <row r="198" spans="2:30" ht="14.65" thickBot="1" x14ac:dyDescent="0.5">
      <c r="B198" s="2" t="s">
        <v>258</v>
      </c>
      <c r="H198" s="2" t="s">
        <v>262</v>
      </c>
      <c r="T198" s="2" t="s">
        <v>258</v>
      </c>
      <c r="Z198" s="2" t="s">
        <v>262</v>
      </c>
    </row>
    <row r="199" spans="2:30" x14ac:dyDescent="0.45">
      <c r="B199" s="119" t="s">
        <v>0</v>
      </c>
      <c r="C199" s="119" t="s">
        <v>49</v>
      </c>
      <c r="D199" s="119" t="s">
        <v>34</v>
      </c>
      <c r="E199" s="119" t="s">
        <v>50</v>
      </c>
      <c r="F199" s="119" t="s">
        <v>36</v>
      </c>
      <c r="H199" s="119" t="s">
        <v>0</v>
      </c>
      <c r="I199" s="119" t="s">
        <v>49</v>
      </c>
      <c r="J199" s="119" t="s">
        <v>34</v>
      </c>
      <c r="K199" s="119" t="s">
        <v>50</v>
      </c>
      <c r="L199" s="119" t="s">
        <v>36</v>
      </c>
      <c r="T199" s="119" t="s">
        <v>0</v>
      </c>
      <c r="U199" s="119" t="s">
        <v>49</v>
      </c>
      <c r="V199" s="119" t="s">
        <v>34</v>
      </c>
      <c r="W199" s="119" t="s">
        <v>50</v>
      </c>
      <c r="X199" s="119" t="s">
        <v>36</v>
      </c>
      <c r="Z199" s="119" t="s">
        <v>0</v>
      </c>
      <c r="AA199" s="119" t="s">
        <v>49</v>
      </c>
      <c r="AB199" s="119" t="s">
        <v>34</v>
      </c>
      <c r="AC199" s="119" t="s">
        <v>50</v>
      </c>
      <c r="AD199" s="119" t="s">
        <v>36</v>
      </c>
    </row>
    <row r="200" spans="2:30" x14ac:dyDescent="0.45">
      <c r="B200" s="141">
        <v>1</v>
      </c>
      <c r="C200" s="142" t="s">
        <v>112</v>
      </c>
      <c r="D200" s="141">
        <v>1</v>
      </c>
      <c r="E200" s="141" t="s">
        <v>6</v>
      </c>
      <c r="F200" s="143">
        <f>D200*'Daftar HPP'!$L$57</f>
        <v>4875.7315789473687</v>
      </c>
      <c r="H200" s="141">
        <v>1</v>
      </c>
      <c r="I200" s="142" t="s">
        <v>112</v>
      </c>
      <c r="J200" s="141">
        <v>1</v>
      </c>
      <c r="K200" s="141" t="s">
        <v>6</v>
      </c>
      <c r="L200" s="143">
        <f>J200*'Daftar HPP'!$L$57</f>
        <v>4875.7315789473687</v>
      </c>
      <c r="T200" s="141">
        <v>1</v>
      </c>
      <c r="U200" s="142" t="s">
        <v>112</v>
      </c>
      <c r="V200" s="141">
        <v>2</v>
      </c>
      <c r="W200" s="141" t="s">
        <v>6</v>
      </c>
      <c r="X200" s="143">
        <f>V200*'Daftar HPP'!$L$57</f>
        <v>9751.4631578947374</v>
      </c>
      <c r="Z200" s="141">
        <v>1</v>
      </c>
      <c r="AA200" s="142" t="s">
        <v>112</v>
      </c>
      <c r="AB200" s="141">
        <v>2</v>
      </c>
      <c r="AC200" s="141" t="s">
        <v>6</v>
      </c>
      <c r="AD200" s="143">
        <f>AB200*'Daftar HPP'!$L$57</f>
        <v>9751.4631578947374</v>
      </c>
    </row>
    <row r="201" spans="2:30" x14ac:dyDescent="0.45">
      <c r="B201" s="141">
        <v>2</v>
      </c>
      <c r="C201" s="142" t="s">
        <v>21</v>
      </c>
      <c r="D201" s="141">
        <v>40</v>
      </c>
      <c r="E201" s="141" t="s">
        <v>8</v>
      </c>
      <c r="F201" s="143">
        <f>D201*'Daftar HPP'!$F$131</f>
        <v>1730.1435406698565</v>
      </c>
      <c r="H201" s="141">
        <v>2</v>
      </c>
      <c r="I201" s="142" t="s">
        <v>21</v>
      </c>
      <c r="J201" s="141">
        <v>40</v>
      </c>
      <c r="K201" s="141" t="s">
        <v>8</v>
      </c>
      <c r="L201" s="143">
        <f>J201*'Daftar HPP'!$F$131</f>
        <v>1730.1435406698565</v>
      </c>
      <c r="T201" s="141">
        <v>2</v>
      </c>
      <c r="U201" s="142" t="s">
        <v>21</v>
      </c>
      <c r="V201" s="141">
        <v>80</v>
      </c>
      <c r="W201" s="141" t="s">
        <v>8</v>
      </c>
      <c r="X201" s="143">
        <f>V201*'Daftar HPP'!$F$131</f>
        <v>3460.287081339713</v>
      </c>
      <c r="Z201" s="141">
        <v>2</v>
      </c>
      <c r="AA201" s="142" t="s">
        <v>21</v>
      </c>
      <c r="AB201" s="141">
        <v>80</v>
      </c>
      <c r="AC201" s="141" t="s">
        <v>8</v>
      </c>
      <c r="AD201" s="143">
        <f>AB201*'Daftar HPP'!$F$131</f>
        <v>3460.287081339713</v>
      </c>
    </row>
    <row r="202" spans="2:30" x14ac:dyDescent="0.45">
      <c r="B202" s="141">
        <v>3</v>
      </c>
      <c r="C202" s="142" t="s">
        <v>254</v>
      </c>
      <c r="D202" s="141">
        <v>1</v>
      </c>
      <c r="E202" s="141" t="s">
        <v>118</v>
      </c>
      <c r="F202" s="143">
        <f>D202*'Daftar HPP'!$F$105</f>
        <v>7659.7900832428531</v>
      </c>
      <c r="H202" s="141">
        <v>3</v>
      </c>
      <c r="I202" s="142" t="s">
        <v>254</v>
      </c>
      <c r="J202" s="141">
        <v>1</v>
      </c>
      <c r="K202" s="141" t="s">
        <v>118</v>
      </c>
      <c r="L202" s="143">
        <f>J202*'Daftar HPP'!$F$105</f>
        <v>7659.7900832428531</v>
      </c>
      <c r="T202" s="141">
        <v>3</v>
      </c>
      <c r="U202" s="142" t="s">
        <v>269</v>
      </c>
      <c r="V202" s="141">
        <v>1</v>
      </c>
      <c r="W202" s="141" t="s">
        <v>118</v>
      </c>
      <c r="X202" s="143">
        <f>V202*'Daftar HPP'!$L$96</f>
        <v>11489.68512486428</v>
      </c>
      <c r="Z202" s="141">
        <v>3</v>
      </c>
      <c r="AA202" s="142" t="s">
        <v>269</v>
      </c>
      <c r="AB202" s="141">
        <v>1</v>
      </c>
      <c r="AC202" s="141" t="s">
        <v>118</v>
      </c>
      <c r="AD202" s="143">
        <f>AB202*'Daftar HPP'!$L$96</f>
        <v>11489.68512486428</v>
      </c>
    </row>
    <row r="203" spans="2:30" x14ac:dyDescent="0.45">
      <c r="B203" s="141">
        <v>4</v>
      </c>
      <c r="C203" s="142" t="s">
        <v>17</v>
      </c>
      <c r="D203" s="141">
        <v>30</v>
      </c>
      <c r="E203" s="141" t="s">
        <v>8</v>
      </c>
      <c r="F203" s="144">
        <f>D203*'Daftar HPP'!$F$152</f>
        <v>2093.9588100686497</v>
      </c>
      <c r="H203" s="141">
        <v>4</v>
      </c>
      <c r="I203" s="142" t="s">
        <v>107</v>
      </c>
      <c r="J203" s="141">
        <v>30</v>
      </c>
      <c r="K203" s="141" t="s">
        <v>8</v>
      </c>
      <c r="L203" s="144">
        <f>J203*'Daftar HPP'!$L$152</f>
        <v>2144.1036802532649</v>
      </c>
      <c r="T203" s="141">
        <v>4</v>
      </c>
      <c r="U203" s="142" t="s">
        <v>17</v>
      </c>
      <c r="V203" s="141">
        <v>30</v>
      </c>
      <c r="W203" s="141" t="s">
        <v>8</v>
      </c>
      <c r="X203" s="144">
        <f>V203*'Daftar HPP'!$F$152</f>
        <v>2093.9588100686497</v>
      </c>
      <c r="Z203" s="141">
        <v>4</v>
      </c>
      <c r="AA203" s="142" t="s">
        <v>107</v>
      </c>
      <c r="AB203" s="141">
        <v>30</v>
      </c>
      <c r="AC203" s="141" t="s">
        <v>8</v>
      </c>
      <c r="AD203" s="144">
        <f>AB203*'Daftar HPP'!$L$152</f>
        <v>2144.1036802532649</v>
      </c>
    </row>
    <row r="204" spans="2:30" x14ac:dyDescent="0.45">
      <c r="B204" s="141">
        <v>5</v>
      </c>
      <c r="C204" s="142" t="s">
        <v>26</v>
      </c>
      <c r="D204" s="141">
        <v>30</v>
      </c>
      <c r="E204" s="141" t="s">
        <v>8</v>
      </c>
      <c r="F204" s="144">
        <f>D204*'Daftar HPP'!$L$143</f>
        <v>1647.4064221926658</v>
      </c>
      <c r="H204" s="141">
        <v>5</v>
      </c>
      <c r="I204" s="142" t="s">
        <v>105</v>
      </c>
      <c r="J204" s="141">
        <v>30</v>
      </c>
      <c r="K204" s="141" t="s">
        <v>8</v>
      </c>
      <c r="L204" s="144">
        <f>J204*'Daftar HPP'!$F$143</f>
        <v>2146.3497453310692</v>
      </c>
      <c r="T204" s="141">
        <v>5</v>
      </c>
      <c r="U204" s="142" t="s">
        <v>26</v>
      </c>
      <c r="V204" s="141">
        <v>30</v>
      </c>
      <c r="W204" s="141" t="s">
        <v>8</v>
      </c>
      <c r="X204" s="144">
        <f>V204*'Daftar HPP'!$L$143</f>
        <v>1647.4064221926658</v>
      </c>
      <c r="Z204" s="141">
        <v>5</v>
      </c>
      <c r="AA204" s="142" t="s">
        <v>105</v>
      </c>
      <c r="AB204" s="141">
        <v>30</v>
      </c>
      <c r="AC204" s="141" t="s">
        <v>8</v>
      </c>
      <c r="AD204" s="144">
        <f>AB204*'Daftar HPP'!$F$143</f>
        <v>2146.3497453310692</v>
      </c>
    </row>
    <row r="205" spans="2:30" x14ac:dyDescent="0.45">
      <c r="B205" s="141">
        <v>6</v>
      </c>
      <c r="C205" s="142" t="s">
        <v>270</v>
      </c>
      <c r="D205" s="141">
        <v>1</v>
      </c>
      <c r="E205" s="141" t="s">
        <v>8</v>
      </c>
      <c r="F205" s="144">
        <f>D205*'Daftar HPP'!$G$33</f>
        <v>100</v>
      </c>
      <c r="H205" s="141">
        <v>6</v>
      </c>
      <c r="I205" s="142" t="s">
        <v>270</v>
      </c>
      <c r="J205" s="141">
        <v>1</v>
      </c>
      <c r="K205" s="141" t="s">
        <v>8</v>
      </c>
      <c r="L205" s="144">
        <f>J205*'Daftar HPP'!$G$33</f>
        <v>100</v>
      </c>
      <c r="T205" s="141">
        <v>6</v>
      </c>
      <c r="U205" s="142" t="s">
        <v>270</v>
      </c>
      <c r="V205" s="141">
        <v>1</v>
      </c>
      <c r="W205" s="141" t="s">
        <v>8</v>
      </c>
      <c r="X205" s="144">
        <f>V205*'Daftar HPP'!$G$33</f>
        <v>100</v>
      </c>
      <c r="Z205" s="141">
        <v>6</v>
      </c>
      <c r="AA205" s="142" t="s">
        <v>270</v>
      </c>
      <c r="AB205" s="141">
        <v>1</v>
      </c>
      <c r="AC205" s="141" t="s">
        <v>8</v>
      </c>
      <c r="AD205" s="144">
        <f>AB205*'Daftar HPP'!$G$33</f>
        <v>100</v>
      </c>
    </row>
    <row r="206" spans="2:30" x14ac:dyDescent="0.45">
      <c r="B206" s="141">
        <v>7</v>
      </c>
      <c r="C206" s="142" t="s">
        <v>251</v>
      </c>
      <c r="D206" s="141">
        <v>1</v>
      </c>
      <c r="E206" s="141" t="s">
        <v>28</v>
      </c>
      <c r="F206" s="144">
        <f>D206*'Daftar HPP'!$G$39</f>
        <v>1100</v>
      </c>
      <c r="H206" s="141">
        <v>7</v>
      </c>
      <c r="I206" s="142" t="s">
        <v>251</v>
      </c>
      <c r="J206" s="141">
        <v>1</v>
      </c>
      <c r="K206" s="141" t="s">
        <v>28</v>
      </c>
      <c r="L206" s="144">
        <f>J206*'Daftar HPP'!$G$39</f>
        <v>1100</v>
      </c>
      <c r="T206" s="141">
        <v>7</v>
      </c>
      <c r="U206" s="142" t="s">
        <v>251</v>
      </c>
      <c r="V206" s="141">
        <v>1</v>
      </c>
      <c r="W206" s="141" t="s">
        <v>28</v>
      </c>
      <c r="X206" s="144">
        <f>V206*'Daftar HPP'!$G$39</f>
        <v>1100</v>
      </c>
      <c r="Z206" s="141">
        <v>7</v>
      </c>
      <c r="AA206" s="142" t="s">
        <v>251</v>
      </c>
      <c r="AB206" s="141">
        <v>1</v>
      </c>
      <c r="AC206" s="141" t="s">
        <v>28</v>
      </c>
      <c r="AD206" s="144">
        <f>AB206*'Daftar HPP'!$G$39</f>
        <v>1100</v>
      </c>
    </row>
    <row r="207" spans="2:30" x14ac:dyDescent="0.45">
      <c r="B207" s="153"/>
      <c r="C207" s="150"/>
      <c r="D207" s="261" t="s">
        <v>53</v>
      </c>
      <c r="E207" s="261"/>
      <c r="F207" s="190">
        <f>SUM(F200:F206)</f>
        <v>19207.030435121396</v>
      </c>
      <c r="H207" s="153"/>
      <c r="I207" s="150"/>
      <c r="J207" s="261" t="s">
        <v>53</v>
      </c>
      <c r="K207" s="261"/>
      <c r="L207" s="190">
        <f>SUM(L200:L206)</f>
        <v>19756.118628444412</v>
      </c>
      <c r="T207" s="153"/>
      <c r="U207" s="150"/>
      <c r="V207" s="261" t="s">
        <v>53</v>
      </c>
      <c r="W207" s="261"/>
      <c r="X207" s="190">
        <f>SUM(X200:X206)</f>
        <v>29642.800596360048</v>
      </c>
      <c r="Z207" s="153"/>
      <c r="AA207" s="150"/>
      <c r="AB207" s="261" t="s">
        <v>53</v>
      </c>
      <c r="AC207" s="261"/>
      <c r="AD207" s="190">
        <f>SUM(AD200:AD206)</f>
        <v>30191.888789683067</v>
      </c>
    </row>
    <row r="208" spans="2:30" x14ac:dyDescent="0.45">
      <c r="B208" s="153"/>
      <c r="C208" s="153"/>
      <c r="D208" s="256" t="s">
        <v>116</v>
      </c>
      <c r="E208" s="256"/>
      <c r="F208" s="147">
        <v>32000</v>
      </c>
      <c r="H208" s="153"/>
      <c r="I208" s="153"/>
      <c r="J208" s="256" t="s">
        <v>116</v>
      </c>
      <c r="K208" s="256"/>
      <c r="L208" s="147">
        <v>32000</v>
      </c>
      <c r="T208" s="153"/>
      <c r="U208" s="153"/>
      <c r="V208" s="256" t="s">
        <v>116</v>
      </c>
      <c r="W208" s="256"/>
      <c r="X208" s="147">
        <v>49000</v>
      </c>
      <c r="Z208" s="153"/>
      <c r="AA208" s="153"/>
      <c r="AB208" s="256" t="s">
        <v>116</v>
      </c>
      <c r="AC208" s="256"/>
      <c r="AD208" s="147">
        <v>49000</v>
      </c>
    </row>
    <row r="209" spans="2:36" x14ac:dyDescent="0.45">
      <c r="B209" s="153"/>
      <c r="C209" s="153"/>
      <c r="D209" s="256" t="s">
        <v>119</v>
      </c>
      <c r="E209" s="256"/>
      <c r="F209" s="148">
        <f>F208-F207</f>
        <v>12792.969564878604</v>
      </c>
      <c r="H209" s="153"/>
      <c r="I209" s="153"/>
      <c r="J209" s="256" t="s">
        <v>119</v>
      </c>
      <c r="K209" s="256"/>
      <c r="L209" s="148">
        <f>L208-L207</f>
        <v>12243.881371555588</v>
      </c>
      <c r="T209" s="153"/>
      <c r="U209" s="153"/>
      <c r="V209" s="256" t="s">
        <v>119</v>
      </c>
      <c r="W209" s="256"/>
      <c r="X209" s="148">
        <f>X208-X207</f>
        <v>19357.199403639952</v>
      </c>
      <c r="Z209" s="153"/>
      <c r="AA209" s="153"/>
      <c r="AB209" s="256" t="s">
        <v>119</v>
      </c>
      <c r="AC209" s="256"/>
      <c r="AD209" s="148">
        <f>AD208-AD207</f>
        <v>18808.111210316933</v>
      </c>
    </row>
    <row r="211" spans="2:36" ht="15.4" x14ac:dyDescent="0.45">
      <c r="B211" s="259" t="s">
        <v>313</v>
      </c>
      <c r="C211" s="259"/>
      <c r="D211" s="259"/>
      <c r="E211" s="259"/>
      <c r="F211" s="259"/>
      <c r="G211" s="259"/>
      <c r="H211" s="259"/>
      <c r="I211" s="259"/>
      <c r="J211" s="259"/>
      <c r="K211" s="259"/>
      <c r="L211" s="259"/>
      <c r="M211" s="259"/>
      <c r="N211" s="259"/>
      <c r="O211" s="259"/>
      <c r="P211" s="259"/>
      <c r="Q211" s="259"/>
      <c r="R211" s="259"/>
      <c r="T211" s="259" t="s">
        <v>314</v>
      </c>
      <c r="U211" s="259"/>
      <c r="V211" s="259"/>
      <c r="W211" s="259"/>
      <c r="X211" s="259"/>
      <c r="Y211" s="259"/>
      <c r="Z211" s="259"/>
      <c r="AA211" s="259"/>
      <c r="AB211" s="259"/>
      <c r="AC211" s="259"/>
      <c r="AD211" s="259"/>
      <c r="AE211" s="259"/>
      <c r="AF211" s="259"/>
      <c r="AG211" s="259"/>
      <c r="AH211" s="259"/>
      <c r="AI211" s="259"/>
      <c r="AJ211" s="259"/>
    </row>
    <row r="212" spans="2:36" ht="14.65" thickBot="1" x14ac:dyDescent="0.5">
      <c r="B212" s="2" t="s">
        <v>253</v>
      </c>
      <c r="H212" s="2" t="s">
        <v>259</v>
      </c>
      <c r="N212" s="2" t="s">
        <v>263</v>
      </c>
      <c r="T212" s="2" t="s">
        <v>253</v>
      </c>
      <c r="Z212" s="2" t="s">
        <v>259</v>
      </c>
      <c r="AF212" s="2" t="s">
        <v>263</v>
      </c>
    </row>
    <row r="213" spans="2:36" x14ac:dyDescent="0.45">
      <c r="B213" s="119" t="s">
        <v>0</v>
      </c>
      <c r="C213" s="119" t="s">
        <v>49</v>
      </c>
      <c r="D213" s="119" t="s">
        <v>34</v>
      </c>
      <c r="E213" s="119" t="s">
        <v>50</v>
      </c>
      <c r="F213" s="119" t="s">
        <v>36</v>
      </c>
      <c r="H213" s="119" t="s">
        <v>0</v>
      </c>
      <c r="I213" s="119" t="s">
        <v>49</v>
      </c>
      <c r="J213" s="119" t="s">
        <v>34</v>
      </c>
      <c r="K213" s="119" t="s">
        <v>50</v>
      </c>
      <c r="L213" s="119" t="s">
        <v>36</v>
      </c>
      <c r="N213" s="119" t="s">
        <v>0</v>
      </c>
      <c r="O213" s="119" t="s">
        <v>49</v>
      </c>
      <c r="P213" s="119" t="s">
        <v>34</v>
      </c>
      <c r="Q213" s="119" t="s">
        <v>50</v>
      </c>
      <c r="R213" s="119" t="s">
        <v>36</v>
      </c>
      <c r="T213" s="119" t="s">
        <v>0</v>
      </c>
      <c r="U213" s="119" t="s">
        <v>49</v>
      </c>
      <c r="V213" s="119" t="s">
        <v>34</v>
      </c>
      <c r="W213" s="119" t="s">
        <v>50</v>
      </c>
      <c r="X213" s="119" t="s">
        <v>36</v>
      </c>
      <c r="Z213" s="119" t="s">
        <v>0</v>
      </c>
      <c r="AA213" s="119" t="s">
        <v>49</v>
      </c>
      <c r="AB213" s="119" t="s">
        <v>34</v>
      </c>
      <c r="AC213" s="119" t="s">
        <v>50</v>
      </c>
      <c r="AD213" s="119" t="s">
        <v>36</v>
      </c>
      <c r="AF213" s="119" t="s">
        <v>0</v>
      </c>
      <c r="AG213" s="119" t="s">
        <v>49</v>
      </c>
      <c r="AH213" s="119" t="s">
        <v>34</v>
      </c>
      <c r="AI213" s="119" t="s">
        <v>50</v>
      </c>
      <c r="AJ213" s="119" t="s">
        <v>36</v>
      </c>
    </row>
    <row r="214" spans="2:36" x14ac:dyDescent="0.45">
      <c r="B214" s="141">
        <v>1</v>
      </c>
      <c r="C214" s="142" t="s">
        <v>112</v>
      </c>
      <c r="D214" s="141">
        <v>1</v>
      </c>
      <c r="E214" s="141" t="s">
        <v>6</v>
      </c>
      <c r="F214" s="143">
        <f>D214*'Daftar HPP'!$L$57</f>
        <v>4875.7315789473687</v>
      </c>
      <c r="H214" s="141">
        <v>1</v>
      </c>
      <c r="I214" s="142" t="s">
        <v>112</v>
      </c>
      <c r="J214" s="141">
        <v>1</v>
      </c>
      <c r="K214" s="141" t="s">
        <v>6</v>
      </c>
      <c r="L214" s="143">
        <f>J214*'Daftar HPP'!$L$57</f>
        <v>4875.7315789473687</v>
      </c>
      <c r="N214" s="141">
        <v>1</v>
      </c>
      <c r="O214" s="142" t="s">
        <v>112</v>
      </c>
      <c r="P214" s="141">
        <v>1</v>
      </c>
      <c r="Q214" s="141" t="s">
        <v>6</v>
      </c>
      <c r="R214" s="143">
        <f>P214*'Daftar HPP'!$L$57</f>
        <v>4875.7315789473687</v>
      </c>
      <c r="T214" s="141">
        <v>1</v>
      </c>
      <c r="U214" s="142" t="s">
        <v>112</v>
      </c>
      <c r="V214" s="141">
        <v>2</v>
      </c>
      <c r="W214" s="141" t="s">
        <v>6</v>
      </c>
      <c r="X214" s="143">
        <f>V214*'Daftar HPP'!$L$57</f>
        <v>9751.4631578947374</v>
      </c>
      <c r="Z214" s="141">
        <v>1</v>
      </c>
      <c r="AA214" s="142" t="s">
        <v>112</v>
      </c>
      <c r="AB214" s="141">
        <v>2</v>
      </c>
      <c r="AC214" s="141" t="s">
        <v>6</v>
      </c>
      <c r="AD214" s="143">
        <f>AB214*'Daftar HPP'!$L$57</f>
        <v>9751.4631578947374</v>
      </c>
      <c r="AF214" s="141">
        <v>1</v>
      </c>
      <c r="AG214" s="142" t="s">
        <v>112</v>
      </c>
      <c r="AH214" s="141">
        <v>2</v>
      </c>
      <c r="AI214" s="141" t="s">
        <v>6</v>
      </c>
      <c r="AJ214" s="143">
        <f>AH214*'Daftar HPP'!$L$57</f>
        <v>9751.4631578947374</v>
      </c>
    </row>
    <row r="215" spans="2:36" x14ac:dyDescent="0.45">
      <c r="B215" s="141">
        <v>2</v>
      </c>
      <c r="C215" s="142" t="s">
        <v>19</v>
      </c>
      <c r="D215" s="141">
        <v>40</v>
      </c>
      <c r="E215" s="141" t="s">
        <v>8</v>
      </c>
      <c r="F215" s="143">
        <f>D215*'Daftar HPP'!$L$114</f>
        <v>1787.719298245614</v>
      </c>
      <c r="H215" s="141">
        <v>2</v>
      </c>
      <c r="I215" s="142" t="s">
        <v>19</v>
      </c>
      <c r="J215" s="141">
        <v>40</v>
      </c>
      <c r="K215" s="141" t="s">
        <v>8</v>
      </c>
      <c r="L215" s="143">
        <f>J215*'Daftar HPP'!$L$114</f>
        <v>1787.719298245614</v>
      </c>
      <c r="N215" s="141">
        <v>2</v>
      </c>
      <c r="O215" s="142" t="s">
        <v>19</v>
      </c>
      <c r="P215" s="141">
        <v>40</v>
      </c>
      <c r="Q215" s="141" t="s">
        <v>8</v>
      </c>
      <c r="R215" s="143">
        <f>P215*'Daftar HPP'!$L$114</f>
        <v>1787.719298245614</v>
      </c>
      <c r="T215" s="141">
        <v>2</v>
      </c>
      <c r="U215" s="142" t="s">
        <v>19</v>
      </c>
      <c r="V215" s="141">
        <v>80</v>
      </c>
      <c r="W215" s="141" t="s">
        <v>8</v>
      </c>
      <c r="X215" s="143">
        <f>V215*'Daftar HPP'!$L$114</f>
        <v>3575.4385964912281</v>
      </c>
      <c r="Z215" s="141">
        <v>2</v>
      </c>
      <c r="AA215" s="142" t="s">
        <v>19</v>
      </c>
      <c r="AB215" s="141">
        <v>80</v>
      </c>
      <c r="AC215" s="141" t="s">
        <v>8</v>
      </c>
      <c r="AD215" s="143">
        <f>AB215*'Daftar HPP'!$L$114</f>
        <v>3575.4385964912281</v>
      </c>
      <c r="AF215" s="141">
        <v>2</v>
      </c>
      <c r="AG215" s="142" t="s">
        <v>19</v>
      </c>
      <c r="AH215" s="141">
        <v>80</v>
      </c>
      <c r="AI215" s="141" t="s">
        <v>8</v>
      </c>
      <c r="AJ215" s="143">
        <f>AH215*'Daftar HPP'!$L$114</f>
        <v>3575.4385964912281</v>
      </c>
    </row>
    <row r="216" spans="2:36" x14ac:dyDescent="0.45">
      <c r="B216" s="141">
        <v>3</v>
      </c>
      <c r="C216" s="142" t="s">
        <v>254</v>
      </c>
      <c r="D216" s="141">
        <v>1</v>
      </c>
      <c r="E216" s="141" t="s">
        <v>118</v>
      </c>
      <c r="F216" s="143">
        <f>D216*'Daftar HPP'!$F$105</f>
        <v>7659.7900832428531</v>
      </c>
      <c r="H216" s="141">
        <v>3</v>
      </c>
      <c r="I216" s="142" t="s">
        <v>254</v>
      </c>
      <c r="J216" s="141">
        <v>1</v>
      </c>
      <c r="K216" s="141" t="s">
        <v>118</v>
      </c>
      <c r="L216" s="143">
        <f>J216*'Daftar HPP'!$F$105</f>
        <v>7659.7900832428531</v>
      </c>
      <c r="N216" s="141">
        <v>3</v>
      </c>
      <c r="O216" s="142" t="s">
        <v>254</v>
      </c>
      <c r="P216" s="141">
        <v>1</v>
      </c>
      <c r="Q216" s="141" t="s">
        <v>118</v>
      </c>
      <c r="R216" s="143">
        <f>P216*'Daftar HPP'!$F$105</f>
        <v>7659.7900832428531</v>
      </c>
      <c r="T216" s="141">
        <v>3</v>
      </c>
      <c r="U216" s="142" t="s">
        <v>269</v>
      </c>
      <c r="V216" s="141">
        <v>1</v>
      </c>
      <c r="W216" s="141" t="s">
        <v>118</v>
      </c>
      <c r="X216" s="143">
        <f>V216*'Daftar HPP'!$L$96</f>
        <v>11489.68512486428</v>
      </c>
      <c r="Z216" s="141">
        <v>3</v>
      </c>
      <c r="AA216" s="142" t="s">
        <v>269</v>
      </c>
      <c r="AB216" s="141">
        <v>1</v>
      </c>
      <c r="AC216" s="141" t="s">
        <v>118</v>
      </c>
      <c r="AD216" s="143">
        <f>AB216*'Daftar HPP'!$L$96</f>
        <v>11489.68512486428</v>
      </c>
      <c r="AF216" s="141">
        <v>3</v>
      </c>
      <c r="AG216" s="142" t="s">
        <v>269</v>
      </c>
      <c r="AH216" s="141">
        <v>1</v>
      </c>
      <c r="AI216" s="141" t="s">
        <v>118</v>
      </c>
      <c r="AJ216" s="143">
        <f>AH216*'Daftar HPP'!$L$96</f>
        <v>11489.68512486428</v>
      </c>
    </row>
    <row r="217" spans="2:36" x14ac:dyDescent="0.45">
      <c r="B217" s="141">
        <v>4</v>
      </c>
      <c r="C217" s="142" t="s">
        <v>17</v>
      </c>
      <c r="D217" s="141">
        <v>30</v>
      </c>
      <c r="E217" s="141" t="s">
        <v>8</v>
      </c>
      <c r="F217" s="144">
        <f>D217*'Daftar HPP'!$F$152</f>
        <v>2093.9588100686497</v>
      </c>
      <c r="H217" s="141">
        <v>4</v>
      </c>
      <c r="I217" s="142" t="s">
        <v>25</v>
      </c>
      <c r="J217" s="141">
        <v>30</v>
      </c>
      <c r="K217" s="141" t="s">
        <v>8</v>
      </c>
      <c r="L217" s="144">
        <f>J217*'Daftar HPP'!$G$22</f>
        <v>1995</v>
      </c>
      <c r="N217" s="141">
        <v>4</v>
      </c>
      <c r="O217" s="142" t="s">
        <v>107</v>
      </c>
      <c r="P217" s="141">
        <v>30</v>
      </c>
      <c r="Q217" s="141" t="s">
        <v>8</v>
      </c>
      <c r="R217" s="144">
        <f>P217*'Daftar HPP'!$L$152</f>
        <v>2144.1036802532649</v>
      </c>
      <c r="T217" s="141">
        <v>4</v>
      </c>
      <c r="U217" s="142" t="s">
        <v>17</v>
      </c>
      <c r="V217" s="141">
        <v>30</v>
      </c>
      <c r="W217" s="141" t="s">
        <v>8</v>
      </c>
      <c r="X217" s="144">
        <f>V217*'Daftar HPP'!$F$152</f>
        <v>2093.9588100686497</v>
      </c>
      <c r="Z217" s="141">
        <v>4</v>
      </c>
      <c r="AA217" s="142" t="s">
        <v>25</v>
      </c>
      <c r="AB217" s="141">
        <v>30</v>
      </c>
      <c r="AC217" s="141" t="s">
        <v>8</v>
      </c>
      <c r="AD217" s="144">
        <f>AB217*'Daftar HPP'!$G$22</f>
        <v>1995</v>
      </c>
      <c r="AF217" s="141">
        <v>4</v>
      </c>
      <c r="AG217" s="142" t="s">
        <v>107</v>
      </c>
      <c r="AH217" s="141">
        <v>30</v>
      </c>
      <c r="AI217" s="141" t="s">
        <v>8</v>
      </c>
      <c r="AJ217" s="144">
        <f>AH217*'Daftar HPP'!$L$152</f>
        <v>2144.1036802532649</v>
      </c>
    </row>
    <row r="218" spans="2:36" x14ac:dyDescent="0.45">
      <c r="B218" s="141">
        <v>5</v>
      </c>
      <c r="C218" s="142" t="s">
        <v>25</v>
      </c>
      <c r="D218" s="141">
        <v>30</v>
      </c>
      <c r="E218" s="141" t="s">
        <v>8</v>
      </c>
      <c r="F218" s="144">
        <f>D218*'Daftar HPP'!$G$22</f>
        <v>1995</v>
      </c>
      <c r="H218" s="141">
        <v>5</v>
      </c>
      <c r="I218" s="142" t="s">
        <v>105</v>
      </c>
      <c r="J218" s="141">
        <v>30</v>
      </c>
      <c r="K218" s="141" t="s">
        <v>8</v>
      </c>
      <c r="L218" s="144">
        <f>J218*'Daftar HPP'!$F$143</f>
        <v>2146.3497453310692</v>
      </c>
      <c r="N218" s="141">
        <v>5</v>
      </c>
      <c r="O218" s="142" t="s">
        <v>26</v>
      </c>
      <c r="P218" s="141">
        <v>30</v>
      </c>
      <c r="Q218" s="141" t="s">
        <v>8</v>
      </c>
      <c r="R218" s="144">
        <f>P218*'Daftar HPP'!$L$143</f>
        <v>1647.4064221926658</v>
      </c>
      <c r="T218" s="141">
        <v>5</v>
      </c>
      <c r="U218" s="142" t="s">
        <v>25</v>
      </c>
      <c r="V218" s="141">
        <v>30</v>
      </c>
      <c r="W218" s="141" t="s">
        <v>8</v>
      </c>
      <c r="X218" s="144">
        <f>V218*'Daftar HPP'!$G$22</f>
        <v>1995</v>
      </c>
      <c r="Z218" s="141">
        <v>5</v>
      </c>
      <c r="AA218" s="142" t="s">
        <v>105</v>
      </c>
      <c r="AB218" s="141">
        <v>30</v>
      </c>
      <c r="AC218" s="141" t="s">
        <v>8</v>
      </c>
      <c r="AD218" s="144">
        <f>AB218*'Daftar HPP'!$F$143</f>
        <v>2146.3497453310692</v>
      </c>
      <c r="AF218" s="141">
        <v>5</v>
      </c>
      <c r="AG218" s="142" t="s">
        <v>26</v>
      </c>
      <c r="AH218" s="141">
        <v>30</v>
      </c>
      <c r="AI218" s="141" t="s">
        <v>8</v>
      </c>
      <c r="AJ218" s="144">
        <f>AH218*'Daftar HPP'!$L$143</f>
        <v>1647.4064221926658</v>
      </c>
    </row>
    <row r="219" spans="2:36" x14ac:dyDescent="0.45">
      <c r="B219" s="141">
        <v>6</v>
      </c>
      <c r="C219" s="142" t="s">
        <v>270</v>
      </c>
      <c r="D219" s="141">
        <v>1</v>
      </c>
      <c r="E219" s="141" t="s">
        <v>8</v>
      </c>
      <c r="F219" s="144">
        <f>D219*'Daftar HPP'!$G$33</f>
        <v>100</v>
      </c>
      <c r="H219" s="141">
        <v>6</v>
      </c>
      <c r="I219" s="142" t="s">
        <v>270</v>
      </c>
      <c r="J219" s="141">
        <v>1</v>
      </c>
      <c r="K219" s="141" t="s">
        <v>8</v>
      </c>
      <c r="L219" s="144">
        <f>J219*'Daftar HPP'!$G$33</f>
        <v>100</v>
      </c>
      <c r="N219" s="141">
        <v>6</v>
      </c>
      <c r="O219" s="142" t="s">
        <v>270</v>
      </c>
      <c r="P219" s="141">
        <v>1</v>
      </c>
      <c r="Q219" s="141" t="s">
        <v>8</v>
      </c>
      <c r="R219" s="144">
        <f>P219*'Daftar HPP'!$G$33</f>
        <v>100</v>
      </c>
      <c r="T219" s="141">
        <v>6</v>
      </c>
      <c r="U219" s="142" t="s">
        <v>270</v>
      </c>
      <c r="V219" s="141">
        <v>1</v>
      </c>
      <c r="W219" s="141" t="s">
        <v>8</v>
      </c>
      <c r="X219" s="144">
        <f>V219*'Daftar HPP'!$G$33</f>
        <v>100</v>
      </c>
      <c r="Z219" s="141">
        <v>6</v>
      </c>
      <c r="AA219" s="142" t="s">
        <v>270</v>
      </c>
      <c r="AB219" s="141">
        <v>1</v>
      </c>
      <c r="AC219" s="141" t="s">
        <v>8</v>
      </c>
      <c r="AD219" s="144">
        <f>AB219*'Daftar HPP'!$G$33</f>
        <v>100</v>
      </c>
      <c r="AF219" s="141">
        <v>6</v>
      </c>
      <c r="AG219" s="142" t="s">
        <v>270</v>
      </c>
      <c r="AH219" s="141">
        <v>1</v>
      </c>
      <c r="AI219" s="141" t="s">
        <v>8</v>
      </c>
      <c r="AJ219" s="144">
        <f>AH219*'Daftar HPP'!$G$33</f>
        <v>100</v>
      </c>
    </row>
    <row r="220" spans="2:36" x14ac:dyDescent="0.45">
      <c r="B220" s="141">
        <v>7</v>
      </c>
      <c r="C220" s="142" t="s">
        <v>251</v>
      </c>
      <c r="D220" s="141">
        <v>1</v>
      </c>
      <c r="E220" s="141" t="s">
        <v>28</v>
      </c>
      <c r="F220" s="144">
        <f>D220*'Daftar HPP'!$G$39</f>
        <v>1100</v>
      </c>
      <c r="H220" s="141">
        <v>7</v>
      </c>
      <c r="I220" s="142" t="s">
        <v>251</v>
      </c>
      <c r="J220" s="141">
        <v>1</v>
      </c>
      <c r="K220" s="141" t="s">
        <v>28</v>
      </c>
      <c r="L220" s="144">
        <f>J220*'Daftar HPP'!$G$39</f>
        <v>1100</v>
      </c>
      <c r="N220" s="141">
        <v>7</v>
      </c>
      <c r="O220" s="142" t="s">
        <v>251</v>
      </c>
      <c r="P220" s="141">
        <v>1</v>
      </c>
      <c r="Q220" s="141" t="s">
        <v>28</v>
      </c>
      <c r="R220" s="144">
        <f>P220*'Daftar HPP'!$G$39</f>
        <v>1100</v>
      </c>
      <c r="T220" s="141">
        <v>7</v>
      </c>
      <c r="U220" s="142" t="s">
        <v>251</v>
      </c>
      <c r="V220" s="141">
        <v>1</v>
      </c>
      <c r="W220" s="141" t="s">
        <v>28</v>
      </c>
      <c r="X220" s="144">
        <f>V220*'Daftar HPP'!$G$39</f>
        <v>1100</v>
      </c>
      <c r="Z220" s="141">
        <v>7</v>
      </c>
      <c r="AA220" s="142" t="s">
        <v>251</v>
      </c>
      <c r="AB220" s="141">
        <v>1</v>
      </c>
      <c r="AC220" s="141" t="s">
        <v>28</v>
      </c>
      <c r="AD220" s="144">
        <f>AB220*'Daftar HPP'!$G$39</f>
        <v>1100</v>
      </c>
      <c r="AF220" s="141">
        <v>7</v>
      </c>
      <c r="AG220" s="142" t="s">
        <v>251</v>
      </c>
      <c r="AH220" s="141">
        <v>1</v>
      </c>
      <c r="AI220" s="141" t="s">
        <v>28</v>
      </c>
      <c r="AJ220" s="144">
        <f>AH220*'Daftar HPP'!$G$39</f>
        <v>1100</v>
      </c>
    </row>
    <row r="221" spans="2:36" x14ac:dyDescent="0.45">
      <c r="B221" s="153"/>
      <c r="C221" s="150"/>
      <c r="D221" s="261" t="s">
        <v>53</v>
      </c>
      <c r="E221" s="261"/>
      <c r="F221" s="190">
        <f>SUM(F214:F220)</f>
        <v>19612.199770504485</v>
      </c>
      <c r="H221" s="153"/>
      <c r="I221" s="150"/>
      <c r="J221" s="261" t="s">
        <v>53</v>
      </c>
      <c r="K221" s="261"/>
      <c r="L221" s="190">
        <f>SUM(L214:L220)</f>
        <v>19664.590705766906</v>
      </c>
      <c r="N221" s="153"/>
      <c r="O221" s="150"/>
      <c r="P221" s="261" t="s">
        <v>53</v>
      </c>
      <c r="Q221" s="261"/>
      <c r="R221" s="190">
        <f>SUM(R214:R220)</f>
        <v>19314.751062881769</v>
      </c>
      <c r="T221" s="153"/>
      <c r="U221" s="150"/>
      <c r="V221" s="261" t="s">
        <v>53</v>
      </c>
      <c r="W221" s="261"/>
      <c r="X221" s="190">
        <f>SUM(X214:X220)</f>
        <v>30105.545689318893</v>
      </c>
      <c r="Z221" s="153"/>
      <c r="AA221" s="150"/>
      <c r="AB221" s="261" t="s">
        <v>53</v>
      </c>
      <c r="AC221" s="261"/>
      <c r="AD221" s="190">
        <f>SUM(AD214:AD220)</f>
        <v>30157.936624581314</v>
      </c>
      <c r="AF221" s="153"/>
      <c r="AG221" s="150"/>
      <c r="AH221" s="261" t="s">
        <v>53</v>
      </c>
      <c r="AI221" s="261"/>
      <c r="AJ221" s="190">
        <f>SUM(AJ214:AJ220)</f>
        <v>29808.096981696177</v>
      </c>
    </row>
    <row r="222" spans="2:36" x14ac:dyDescent="0.45">
      <c r="B222" s="153"/>
      <c r="C222" s="153"/>
      <c r="D222" s="256" t="s">
        <v>116</v>
      </c>
      <c r="E222" s="256"/>
      <c r="F222" s="147">
        <v>32000</v>
      </c>
      <c r="H222" s="153"/>
      <c r="I222" s="153"/>
      <c r="J222" s="256" t="s">
        <v>116</v>
      </c>
      <c r="K222" s="256"/>
      <c r="L222" s="147">
        <v>32000</v>
      </c>
      <c r="N222" s="153"/>
      <c r="O222" s="153"/>
      <c r="P222" s="256" t="s">
        <v>116</v>
      </c>
      <c r="Q222" s="256"/>
      <c r="R222" s="147">
        <v>32000</v>
      </c>
      <c r="T222" s="153"/>
      <c r="U222" s="153"/>
      <c r="V222" s="256" t="s">
        <v>116</v>
      </c>
      <c r="W222" s="256"/>
      <c r="X222" s="147">
        <v>49000</v>
      </c>
      <c r="Z222" s="153"/>
      <c r="AA222" s="153"/>
      <c r="AB222" s="256" t="s">
        <v>116</v>
      </c>
      <c r="AC222" s="256"/>
      <c r="AD222" s="147">
        <v>49000</v>
      </c>
      <c r="AF222" s="153"/>
      <c r="AG222" s="153"/>
      <c r="AH222" s="256" t="s">
        <v>116</v>
      </c>
      <c r="AI222" s="256"/>
      <c r="AJ222" s="147">
        <v>49000</v>
      </c>
    </row>
    <row r="223" spans="2:36" x14ac:dyDescent="0.45">
      <c r="B223" s="153"/>
      <c r="C223" s="153"/>
      <c r="D223" s="256" t="s">
        <v>119</v>
      </c>
      <c r="E223" s="256"/>
      <c r="F223" s="148">
        <f>F222-F221</f>
        <v>12387.800229495515</v>
      </c>
      <c r="H223" s="153"/>
      <c r="I223" s="153"/>
      <c r="J223" s="256" t="s">
        <v>119</v>
      </c>
      <c r="K223" s="256"/>
      <c r="L223" s="148">
        <f>L222-L221</f>
        <v>12335.409294233094</v>
      </c>
      <c r="N223" s="153"/>
      <c r="O223" s="153"/>
      <c r="P223" s="256" t="s">
        <v>119</v>
      </c>
      <c r="Q223" s="256"/>
      <c r="R223" s="148">
        <f>R222-R221</f>
        <v>12685.248937118231</v>
      </c>
      <c r="T223" s="153"/>
      <c r="U223" s="153"/>
      <c r="V223" s="256" t="s">
        <v>119</v>
      </c>
      <c r="W223" s="256"/>
      <c r="X223" s="148">
        <f>X222-X221</f>
        <v>18894.454310681107</v>
      </c>
      <c r="Z223" s="153"/>
      <c r="AA223" s="153"/>
      <c r="AB223" s="256" t="s">
        <v>119</v>
      </c>
      <c r="AC223" s="256"/>
      <c r="AD223" s="148">
        <f>AD222-AD221</f>
        <v>18842.063375418686</v>
      </c>
      <c r="AF223" s="153"/>
      <c r="AG223" s="153"/>
      <c r="AH223" s="256" t="s">
        <v>119</v>
      </c>
      <c r="AI223" s="256"/>
      <c r="AJ223" s="148">
        <f>AJ222-AJ221</f>
        <v>19191.903018303823</v>
      </c>
    </row>
    <row r="225" spans="2:36" ht="14.65" thickBot="1" x14ac:dyDescent="0.5">
      <c r="B225" s="2" t="s">
        <v>256</v>
      </c>
      <c r="H225" s="2" t="s">
        <v>260</v>
      </c>
      <c r="N225" s="2" t="s">
        <v>307</v>
      </c>
      <c r="T225" s="2" t="s">
        <v>256</v>
      </c>
      <c r="Z225" s="2" t="s">
        <v>260</v>
      </c>
      <c r="AF225" s="2" t="s">
        <v>307</v>
      </c>
    </row>
    <row r="226" spans="2:36" x14ac:dyDescent="0.45">
      <c r="B226" s="119" t="s">
        <v>0</v>
      </c>
      <c r="C226" s="119" t="s">
        <v>49</v>
      </c>
      <c r="D226" s="119" t="s">
        <v>34</v>
      </c>
      <c r="E226" s="119" t="s">
        <v>50</v>
      </c>
      <c r="F226" s="119" t="s">
        <v>36</v>
      </c>
      <c r="H226" s="119" t="s">
        <v>0</v>
      </c>
      <c r="I226" s="119" t="s">
        <v>49</v>
      </c>
      <c r="J226" s="119" t="s">
        <v>34</v>
      </c>
      <c r="K226" s="119" t="s">
        <v>50</v>
      </c>
      <c r="L226" s="119" t="s">
        <v>36</v>
      </c>
      <c r="N226" s="119" t="s">
        <v>0</v>
      </c>
      <c r="O226" s="119" t="s">
        <v>49</v>
      </c>
      <c r="P226" s="119" t="s">
        <v>34</v>
      </c>
      <c r="Q226" s="119" t="s">
        <v>50</v>
      </c>
      <c r="R226" s="119" t="s">
        <v>36</v>
      </c>
      <c r="T226" s="119" t="s">
        <v>0</v>
      </c>
      <c r="U226" s="119" t="s">
        <v>49</v>
      </c>
      <c r="V226" s="119" t="s">
        <v>34</v>
      </c>
      <c r="W226" s="119" t="s">
        <v>50</v>
      </c>
      <c r="X226" s="119" t="s">
        <v>36</v>
      </c>
      <c r="Z226" s="119" t="s">
        <v>0</v>
      </c>
      <c r="AA226" s="119" t="s">
        <v>49</v>
      </c>
      <c r="AB226" s="119" t="s">
        <v>34</v>
      </c>
      <c r="AC226" s="119" t="s">
        <v>50</v>
      </c>
      <c r="AD226" s="119" t="s">
        <v>36</v>
      </c>
      <c r="AF226" s="119" t="s">
        <v>0</v>
      </c>
      <c r="AG226" s="119" t="s">
        <v>49</v>
      </c>
      <c r="AH226" s="119" t="s">
        <v>34</v>
      </c>
      <c r="AI226" s="119" t="s">
        <v>50</v>
      </c>
      <c r="AJ226" s="119" t="s">
        <v>36</v>
      </c>
    </row>
    <row r="227" spans="2:36" x14ac:dyDescent="0.45">
      <c r="B227" s="141">
        <v>1</v>
      </c>
      <c r="C227" s="142" t="s">
        <v>112</v>
      </c>
      <c r="D227" s="141">
        <v>1</v>
      </c>
      <c r="E227" s="141" t="s">
        <v>6</v>
      </c>
      <c r="F227" s="143">
        <f>D227*'Daftar HPP'!$L$57</f>
        <v>4875.7315789473687</v>
      </c>
      <c r="H227" s="141">
        <v>1</v>
      </c>
      <c r="I227" s="142" t="s">
        <v>112</v>
      </c>
      <c r="J227" s="141">
        <v>1</v>
      </c>
      <c r="K227" s="141" t="s">
        <v>6</v>
      </c>
      <c r="L227" s="143">
        <f>J227*'Daftar HPP'!$L$57</f>
        <v>4875.7315789473687</v>
      </c>
      <c r="N227" s="141">
        <v>1</v>
      </c>
      <c r="O227" s="142" t="s">
        <v>112</v>
      </c>
      <c r="P227" s="141">
        <v>1</v>
      </c>
      <c r="Q227" s="141" t="s">
        <v>6</v>
      </c>
      <c r="R227" s="143">
        <f>P227*'Daftar HPP'!$L$57</f>
        <v>4875.7315789473687</v>
      </c>
      <c r="T227" s="141">
        <v>1</v>
      </c>
      <c r="U227" s="142" t="s">
        <v>112</v>
      </c>
      <c r="V227" s="141">
        <v>2</v>
      </c>
      <c r="W227" s="141" t="s">
        <v>6</v>
      </c>
      <c r="X227" s="143">
        <f>V227*'Daftar HPP'!$L$57</f>
        <v>9751.4631578947374</v>
      </c>
      <c r="Z227" s="141">
        <v>1</v>
      </c>
      <c r="AA227" s="142" t="s">
        <v>112</v>
      </c>
      <c r="AB227" s="141">
        <v>2</v>
      </c>
      <c r="AC227" s="141" t="s">
        <v>6</v>
      </c>
      <c r="AD227" s="143">
        <f>AB227*'Daftar HPP'!$L$57</f>
        <v>9751.4631578947374</v>
      </c>
      <c r="AF227" s="141">
        <v>1</v>
      </c>
      <c r="AG227" s="142" t="s">
        <v>112</v>
      </c>
      <c r="AH227" s="141">
        <v>2</v>
      </c>
      <c r="AI227" s="141" t="s">
        <v>6</v>
      </c>
      <c r="AJ227" s="143">
        <f>AH227*'Daftar HPP'!$L$57</f>
        <v>9751.4631578947374</v>
      </c>
    </row>
    <row r="228" spans="2:36" x14ac:dyDescent="0.45">
      <c r="B228" s="141">
        <v>2</v>
      </c>
      <c r="C228" s="142" t="s">
        <v>19</v>
      </c>
      <c r="D228" s="141">
        <v>40</v>
      </c>
      <c r="E228" s="141" t="s">
        <v>8</v>
      </c>
      <c r="F228" s="143">
        <f>D228*'Daftar HPP'!$L$114</f>
        <v>1787.719298245614</v>
      </c>
      <c r="H228" s="141">
        <v>2</v>
      </c>
      <c r="I228" s="142" t="s">
        <v>19</v>
      </c>
      <c r="J228" s="141">
        <v>40</v>
      </c>
      <c r="K228" s="141" t="s">
        <v>8</v>
      </c>
      <c r="L228" s="143">
        <f>J228*'Daftar HPP'!$L$114</f>
        <v>1787.719298245614</v>
      </c>
      <c r="N228" s="141">
        <v>2</v>
      </c>
      <c r="O228" s="142" t="s">
        <v>19</v>
      </c>
      <c r="P228" s="141">
        <v>40</v>
      </c>
      <c r="Q228" s="141" t="s">
        <v>8</v>
      </c>
      <c r="R228" s="143">
        <f>P228*'Daftar HPP'!$L$114</f>
        <v>1787.719298245614</v>
      </c>
      <c r="T228" s="141">
        <v>2</v>
      </c>
      <c r="U228" s="142" t="s">
        <v>19</v>
      </c>
      <c r="V228" s="141">
        <v>80</v>
      </c>
      <c r="W228" s="141" t="s">
        <v>8</v>
      </c>
      <c r="X228" s="143">
        <f>V228*'Daftar HPP'!$L$114</f>
        <v>3575.4385964912281</v>
      </c>
      <c r="Z228" s="141">
        <v>2</v>
      </c>
      <c r="AA228" s="142" t="s">
        <v>19</v>
      </c>
      <c r="AB228" s="141">
        <v>80</v>
      </c>
      <c r="AC228" s="141" t="s">
        <v>8</v>
      </c>
      <c r="AD228" s="143">
        <f>AB228*'Daftar HPP'!$L$114</f>
        <v>3575.4385964912281</v>
      </c>
      <c r="AF228" s="141">
        <v>2</v>
      </c>
      <c r="AG228" s="142" t="s">
        <v>19</v>
      </c>
      <c r="AH228" s="141">
        <v>80</v>
      </c>
      <c r="AI228" s="141" t="s">
        <v>8</v>
      </c>
      <c r="AJ228" s="143">
        <f>AH228*'Daftar HPP'!$L$114</f>
        <v>3575.4385964912281</v>
      </c>
    </row>
    <row r="229" spans="2:36" x14ac:dyDescent="0.45">
      <c r="B229" s="141">
        <v>3</v>
      </c>
      <c r="C229" s="142" t="s">
        <v>254</v>
      </c>
      <c r="D229" s="141">
        <v>1</v>
      </c>
      <c r="E229" s="141" t="s">
        <v>118</v>
      </c>
      <c r="F229" s="143">
        <f>D229*'Daftar HPP'!$F$105</f>
        <v>7659.7900832428531</v>
      </c>
      <c r="H229" s="141">
        <v>3</v>
      </c>
      <c r="I229" s="142" t="s">
        <v>254</v>
      </c>
      <c r="J229" s="141">
        <v>1</v>
      </c>
      <c r="K229" s="141" t="s">
        <v>118</v>
      </c>
      <c r="L229" s="143">
        <f>J229*'Daftar HPP'!$F$105</f>
        <v>7659.7900832428531</v>
      </c>
      <c r="N229" s="141">
        <v>3</v>
      </c>
      <c r="O229" s="142" t="s">
        <v>254</v>
      </c>
      <c r="P229" s="141">
        <v>1</v>
      </c>
      <c r="Q229" s="141" t="s">
        <v>118</v>
      </c>
      <c r="R229" s="143">
        <f>P229*'Daftar HPP'!$F$105</f>
        <v>7659.7900832428531</v>
      </c>
      <c r="T229" s="141">
        <v>3</v>
      </c>
      <c r="U229" s="142" t="s">
        <v>269</v>
      </c>
      <c r="V229" s="141">
        <v>1</v>
      </c>
      <c r="W229" s="141" t="s">
        <v>118</v>
      </c>
      <c r="X229" s="143">
        <f>V229*'Daftar HPP'!$L$96</f>
        <v>11489.68512486428</v>
      </c>
      <c r="Z229" s="141">
        <v>3</v>
      </c>
      <c r="AA229" s="142" t="s">
        <v>269</v>
      </c>
      <c r="AB229" s="141">
        <v>1</v>
      </c>
      <c r="AC229" s="141" t="s">
        <v>118</v>
      </c>
      <c r="AD229" s="143">
        <f>AB229*'Daftar HPP'!$L$96</f>
        <v>11489.68512486428</v>
      </c>
      <c r="AF229" s="141">
        <v>3</v>
      </c>
      <c r="AG229" s="142" t="s">
        <v>269</v>
      </c>
      <c r="AH229" s="141">
        <v>1</v>
      </c>
      <c r="AI229" s="141" t="s">
        <v>118</v>
      </c>
      <c r="AJ229" s="143">
        <f>AH229*'Daftar HPP'!$L$96</f>
        <v>11489.68512486428</v>
      </c>
    </row>
    <row r="230" spans="2:36" x14ac:dyDescent="0.45">
      <c r="B230" s="141">
        <v>4</v>
      </c>
      <c r="C230" s="142" t="s">
        <v>17</v>
      </c>
      <c r="D230" s="141">
        <v>30</v>
      </c>
      <c r="E230" s="141" t="s">
        <v>8</v>
      </c>
      <c r="F230" s="144">
        <f>D230*'Daftar HPP'!$F$152</f>
        <v>2093.9588100686497</v>
      </c>
      <c r="H230" s="141">
        <v>4</v>
      </c>
      <c r="I230" s="142" t="s">
        <v>25</v>
      </c>
      <c r="J230" s="141">
        <v>30</v>
      </c>
      <c r="K230" s="141" t="s">
        <v>8</v>
      </c>
      <c r="L230" s="144">
        <f>J230*'Daftar HPP'!$G$22</f>
        <v>1995</v>
      </c>
      <c r="N230" s="141">
        <v>4</v>
      </c>
      <c r="O230" s="142" t="s">
        <v>107</v>
      </c>
      <c r="P230" s="141">
        <v>30</v>
      </c>
      <c r="Q230" s="141" t="s">
        <v>8</v>
      </c>
      <c r="R230" s="144">
        <f>P230*'Daftar HPP'!$L$152</f>
        <v>2144.1036802532649</v>
      </c>
      <c r="T230" s="141">
        <v>4</v>
      </c>
      <c r="U230" s="142" t="s">
        <v>17</v>
      </c>
      <c r="V230" s="141">
        <v>30</v>
      </c>
      <c r="W230" s="141" t="s">
        <v>8</v>
      </c>
      <c r="X230" s="144">
        <f>V230*'Daftar HPP'!$F$152</f>
        <v>2093.9588100686497</v>
      </c>
      <c r="Z230" s="141">
        <v>4</v>
      </c>
      <c r="AA230" s="142" t="s">
        <v>25</v>
      </c>
      <c r="AB230" s="141">
        <v>30</v>
      </c>
      <c r="AC230" s="141" t="s">
        <v>8</v>
      </c>
      <c r="AD230" s="144">
        <f>AB230*'Daftar HPP'!$G$22</f>
        <v>1995</v>
      </c>
      <c r="AF230" s="141">
        <v>4</v>
      </c>
      <c r="AG230" s="142" t="s">
        <v>107</v>
      </c>
      <c r="AH230" s="141">
        <v>30</v>
      </c>
      <c r="AI230" s="141" t="s">
        <v>8</v>
      </c>
      <c r="AJ230" s="144">
        <f>AH230*'Daftar HPP'!$L$152</f>
        <v>2144.1036802532649</v>
      </c>
    </row>
    <row r="231" spans="2:36" x14ac:dyDescent="0.45">
      <c r="B231" s="141">
        <v>5</v>
      </c>
      <c r="C231" s="142" t="s">
        <v>105</v>
      </c>
      <c r="D231" s="141">
        <v>30</v>
      </c>
      <c r="E231" s="141" t="s">
        <v>8</v>
      </c>
      <c r="F231" s="144">
        <f>D231*'Daftar HPP'!$F$143</f>
        <v>2146.3497453310692</v>
      </c>
      <c r="H231" s="141">
        <v>5</v>
      </c>
      <c r="I231" s="142" t="s">
        <v>107</v>
      </c>
      <c r="J231" s="141">
        <v>30</v>
      </c>
      <c r="K231" s="141" t="s">
        <v>8</v>
      </c>
      <c r="L231" s="144">
        <f>J231*'Daftar HPP'!$L$152</f>
        <v>2144.1036802532649</v>
      </c>
      <c r="N231" s="141">
        <v>5</v>
      </c>
      <c r="O231" s="142" t="s">
        <v>26</v>
      </c>
      <c r="P231" s="141">
        <v>30</v>
      </c>
      <c r="Q231" s="141" t="s">
        <v>8</v>
      </c>
      <c r="R231" s="144">
        <f>P231*'Daftar HPP'!$L$143</f>
        <v>1647.4064221926658</v>
      </c>
      <c r="T231" s="141">
        <v>5</v>
      </c>
      <c r="U231" s="142" t="s">
        <v>105</v>
      </c>
      <c r="V231" s="141">
        <v>30</v>
      </c>
      <c r="W231" s="141" t="s">
        <v>8</v>
      </c>
      <c r="X231" s="144">
        <f>V231*'Daftar HPP'!$F$143</f>
        <v>2146.3497453310692</v>
      </c>
      <c r="Z231" s="141">
        <v>5</v>
      </c>
      <c r="AA231" s="142" t="s">
        <v>107</v>
      </c>
      <c r="AB231" s="141">
        <v>30</v>
      </c>
      <c r="AC231" s="141" t="s">
        <v>8</v>
      </c>
      <c r="AD231" s="144">
        <f>AB231*'Daftar HPP'!$L$152</f>
        <v>2144.1036802532649</v>
      </c>
      <c r="AF231" s="141">
        <v>5</v>
      </c>
      <c r="AG231" s="142" t="s">
        <v>26</v>
      </c>
      <c r="AH231" s="141">
        <v>30</v>
      </c>
      <c r="AI231" s="141" t="s">
        <v>8</v>
      </c>
      <c r="AJ231" s="144">
        <f>AH231*'Daftar HPP'!$L$143</f>
        <v>1647.4064221926658</v>
      </c>
    </row>
    <row r="232" spans="2:36" x14ac:dyDescent="0.45">
      <c r="B232" s="141">
        <v>6</v>
      </c>
      <c r="C232" s="142" t="s">
        <v>270</v>
      </c>
      <c r="D232" s="141">
        <v>1</v>
      </c>
      <c r="E232" s="141" t="s">
        <v>8</v>
      </c>
      <c r="F232" s="144">
        <f>D232*'Daftar HPP'!$G$33</f>
        <v>100</v>
      </c>
      <c r="H232" s="141">
        <v>6</v>
      </c>
      <c r="I232" s="142" t="s">
        <v>270</v>
      </c>
      <c r="J232" s="141">
        <v>1</v>
      </c>
      <c r="K232" s="141" t="s">
        <v>8</v>
      </c>
      <c r="L232" s="144">
        <f>J232*'Daftar HPP'!$G$33</f>
        <v>100</v>
      </c>
      <c r="N232" s="141">
        <v>6</v>
      </c>
      <c r="O232" s="142" t="s">
        <v>270</v>
      </c>
      <c r="P232" s="141">
        <v>1</v>
      </c>
      <c r="Q232" s="141" t="s">
        <v>8</v>
      </c>
      <c r="R232" s="144">
        <f>P232*'Daftar HPP'!$G$33</f>
        <v>100</v>
      </c>
      <c r="T232" s="141">
        <v>6</v>
      </c>
      <c r="U232" s="142" t="s">
        <v>270</v>
      </c>
      <c r="V232" s="141">
        <v>1</v>
      </c>
      <c r="W232" s="141" t="s">
        <v>8</v>
      </c>
      <c r="X232" s="144">
        <f>V232*'Daftar HPP'!$G$33</f>
        <v>100</v>
      </c>
      <c r="Z232" s="141">
        <v>6</v>
      </c>
      <c r="AA232" s="142" t="s">
        <v>270</v>
      </c>
      <c r="AB232" s="141">
        <v>1</v>
      </c>
      <c r="AC232" s="141" t="s">
        <v>8</v>
      </c>
      <c r="AD232" s="144">
        <f>AB232*'Daftar HPP'!$G$33</f>
        <v>100</v>
      </c>
      <c r="AF232" s="141">
        <v>6</v>
      </c>
      <c r="AG232" s="142" t="s">
        <v>270</v>
      </c>
      <c r="AH232" s="141">
        <v>1</v>
      </c>
      <c r="AI232" s="141" t="s">
        <v>8</v>
      </c>
      <c r="AJ232" s="144">
        <f>AH232*'Daftar HPP'!$G$33</f>
        <v>100</v>
      </c>
    </row>
    <row r="233" spans="2:36" x14ac:dyDescent="0.45">
      <c r="B233" s="141">
        <v>7</v>
      </c>
      <c r="C233" s="142" t="s">
        <v>251</v>
      </c>
      <c r="D233" s="141">
        <v>1</v>
      </c>
      <c r="E233" s="141" t="s">
        <v>28</v>
      </c>
      <c r="F233" s="144">
        <f>D233*'Daftar HPP'!$G$39</f>
        <v>1100</v>
      </c>
      <c r="H233" s="141">
        <v>7</v>
      </c>
      <c r="I233" s="142" t="s">
        <v>251</v>
      </c>
      <c r="J233" s="141">
        <v>1</v>
      </c>
      <c r="K233" s="141" t="s">
        <v>28</v>
      </c>
      <c r="L233" s="144">
        <f>J233*'Daftar HPP'!$G$39</f>
        <v>1100</v>
      </c>
      <c r="N233" s="141">
        <v>7</v>
      </c>
      <c r="O233" s="142" t="s">
        <v>251</v>
      </c>
      <c r="P233" s="141">
        <v>1</v>
      </c>
      <c r="Q233" s="141" t="s">
        <v>28</v>
      </c>
      <c r="R233" s="144">
        <f>P233*'Daftar HPP'!$G$39</f>
        <v>1100</v>
      </c>
      <c r="T233" s="141">
        <v>7</v>
      </c>
      <c r="U233" s="142" t="s">
        <v>251</v>
      </c>
      <c r="V233" s="141">
        <v>1</v>
      </c>
      <c r="W233" s="141" t="s">
        <v>28</v>
      </c>
      <c r="X233" s="144">
        <f>V233*'Daftar HPP'!$G$39</f>
        <v>1100</v>
      </c>
      <c r="Z233" s="141">
        <v>7</v>
      </c>
      <c r="AA233" s="142" t="s">
        <v>251</v>
      </c>
      <c r="AB233" s="141">
        <v>1</v>
      </c>
      <c r="AC233" s="141" t="s">
        <v>28</v>
      </c>
      <c r="AD233" s="144">
        <f>AB233*'Daftar HPP'!$G$39</f>
        <v>1100</v>
      </c>
      <c r="AF233" s="141">
        <v>7</v>
      </c>
      <c r="AG233" s="142" t="s">
        <v>251</v>
      </c>
      <c r="AH233" s="141">
        <v>1</v>
      </c>
      <c r="AI233" s="141" t="s">
        <v>28</v>
      </c>
      <c r="AJ233" s="144">
        <f>AH233*'Daftar HPP'!$G$39</f>
        <v>1100</v>
      </c>
    </row>
    <row r="234" spans="2:36" x14ac:dyDescent="0.45">
      <c r="B234" s="153"/>
      <c r="C234" s="150"/>
      <c r="D234" s="261" t="s">
        <v>53</v>
      </c>
      <c r="E234" s="261"/>
      <c r="F234" s="190">
        <f>SUM(F227:F233)</f>
        <v>19763.549515835555</v>
      </c>
      <c r="H234" s="153"/>
      <c r="I234" s="150"/>
      <c r="J234" s="261" t="s">
        <v>53</v>
      </c>
      <c r="K234" s="261"/>
      <c r="L234" s="190">
        <f>SUM(L227:L233)</f>
        <v>19662.344640689102</v>
      </c>
      <c r="N234" s="153"/>
      <c r="O234" s="150"/>
      <c r="P234" s="261" t="s">
        <v>53</v>
      </c>
      <c r="Q234" s="261"/>
      <c r="R234" s="190">
        <f>SUM(R227:R233)</f>
        <v>19314.751062881769</v>
      </c>
      <c r="T234" s="153"/>
      <c r="U234" s="150"/>
      <c r="V234" s="261" t="s">
        <v>53</v>
      </c>
      <c r="W234" s="261"/>
      <c r="X234" s="190">
        <f>SUM(X227:X233)</f>
        <v>30256.895434649963</v>
      </c>
      <c r="Z234" s="153"/>
      <c r="AA234" s="150"/>
      <c r="AB234" s="261" t="s">
        <v>53</v>
      </c>
      <c r="AC234" s="261"/>
      <c r="AD234" s="190">
        <f>SUM(AD227:AD233)</f>
        <v>30155.69055950351</v>
      </c>
      <c r="AF234" s="153"/>
      <c r="AG234" s="150"/>
      <c r="AH234" s="261" t="s">
        <v>53</v>
      </c>
      <c r="AI234" s="261"/>
      <c r="AJ234" s="190">
        <f>SUM(AJ227:AJ233)</f>
        <v>29808.096981696177</v>
      </c>
    </row>
    <row r="235" spans="2:36" x14ac:dyDescent="0.45">
      <c r="B235" s="153"/>
      <c r="C235" s="153"/>
      <c r="D235" s="256" t="s">
        <v>116</v>
      </c>
      <c r="E235" s="256"/>
      <c r="F235" s="147">
        <v>32000</v>
      </c>
      <c r="H235" s="153"/>
      <c r="I235" s="153"/>
      <c r="J235" s="256" t="s">
        <v>116</v>
      </c>
      <c r="K235" s="256"/>
      <c r="L235" s="147">
        <v>32000</v>
      </c>
      <c r="N235" s="153"/>
      <c r="O235" s="153"/>
      <c r="P235" s="256" t="s">
        <v>116</v>
      </c>
      <c r="Q235" s="256"/>
      <c r="R235" s="147">
        <v>32000</v>
      </c>
      <c r="T235" s="153"/>
      <c r="U235" s="153"/>
      <c r="V235" s="256" t="s">
        <v>116</v>
      </c>
      <c r="W235" s="256"/>
      <c r="X235" s="147">
        <v>49000</v>
      </c>
      <c r="Z235" s="153"/>
      <c r="AA235" s="153"/>
      <c r="AB235" s="256" t="s">
        <v>116</v>
      </c>
      <c r="AC235" s="256"/>
      <c r="AD235" s="147">
        <v>49000</v>
      </c>
      <c r="AF235" s="153"/>
      <c r="AG235" s="153"/>
      <c r="AH235" s="256" t="s">
        <v>116</v>
      </c>
      <c r="AI235" s="256"/>
      <c r="AJ235" s="147">
        <v>49000</v>
      </c>
    </row>
    <row r="236" spans="2:36" x14ac:dyDescent="0.45">
      <c r="B236" s="153"/>
      <c r="C236" s="153"/>
      <c r="D236" s="256" t="s">
        <v>119</v>
      </c>
      <c r="E236" s="256"/>
      <c r="F236" s="148">
        <f>F235-F234</f>
        <v>12236.450484164445</v>
      </c>
      <c r="H236" s="153"/>
      <c r="I236" s="153"/>
      <c r="J236" s="256" t="s">
        <v>119</v>
      </c>
      <c r="K236" s="256"/>
      <c r="L236" s="148">
        <f>L235-L234</f>
        <v>12337.655359310898</v>
      </c>
      <c r="N236" s="153"/>
      <c r="O236" s="153"/>
      <c r="P236" s="256" t="s">
        <v>119</v>
      </c>
      <c r="Q236" s="256"/>
      <c r="R236" s="148">
        <f>R235-R234</f>
        <v>12685.248937118231</v>
      </c>
      <c r="T236" s="153"/>
      <c r="U236" s="153"/>
      <c r="V236" s="256" t="s">
        <v>119</v>
      </c>
      <c r="W236" s="256"/>
      <c r="X236" s="148">
        <f>X235-X234</f>
        <v>18743.104565350037</v>
      </c>
      <c r="Z236" s="153"/>
      <c r="AA236" s="153"/>
      <c r="AB236" s="256" t="s">
        <v>119</v>
      </c>
      <c r="AC236" s="256"/>
      <c r="AD236" s="148">
        <f>AD235-AD234</f>
        <v>18844.30944049649</v>
      </c>
      <c r="AF236" s="153"/>
      <c r="AG236" s="153"/>
      <c r="AH236" s="256" t="s">
        <v>119</v>
      </c>
      <c r="AI236" s="256"/>
      <c r="AJ236" s="148">
        <f>AJ235-AJ234</f>
        <v>19191.903018303823</v>
      </c>
    </row>
    <row r="238" spans="2:36" ht="14.65" thickBot="1" x14ac:dyDescent="0.5">
      <c r="B238" s="2" t="s">
        <v>257</v>
      </c>
      <c r="H238" s="2" t="s">
        <v>261</v>
      </c>
      <c r="T238" s="2" t="s">
        <v>257</v>
      </c>
      <c r="Z238" s="2" t="s">
        <v>261</v>
      </c>
    </row>
    <row r="239" spans="2:36" x14ac:dyDescent="0.45">
      <c r="B239" s="119" t="s">
        <v>0</v>
      </c>
      <c r="C239" s="119" t="s">
        <v>49</v>
      </c>
      <c r="D239" s="119" t="s">
        <v>34</v>
      </c>
      <c r="E239" s="119" t="s">
        <v>50</v>
      </c>
      <c r="F239" s="119" t="s">
        <v>36</v>
      </c>
      <c r="H239" s="119" t="s">
        <v>0</v>
      </c>
      <c r="I239" s="119" t="s">
        <v>49</v>
      </c>
      <c r="J239" s="119" t="s">
        <v>34</v>
      </c>
      <c r="K239" s="119" t="s">
        <v>50</v>
      </c>
      <c r="L239" s="119" t="s">
        <v>36</v>
      </c>
      <c r="T239" s="119" t="s">
        <v>0</v>
      </c>
      <c r="U239" s="119" t="s">
        <v>49</v>
      </c>
      <c r="V239" s="119" t="s">
        <v>34</v>
      </c>
      <c r="W239" s="119" t="s">
        <v>50</v>
      </c>
      <c r="X239" s="119" t="s">
        <v>36</v>
      </c>
      <c r="Z239" s="119" t="s">
        <v>0</v>
      </c>
      <c r="AA239" s="119" t="s">
        <v>49</v>
      </c>
      <c r="AB239" s="119" t="s">
        <v>34</v>
      </c>
      <c r="AC239" s="119" t="s">
        <v>50</v>
      </c>
      <c r="AD239" s="119" t="s">
        <v>36</v>
      </c>
    </row>
    <row r="240" spans="2:36" x14ac:dyDescent="0.45">
      <c r="B240" s="141">
        <v>1</v>
      </c>
      <c r="C240" s="142" t="s">
        <v>112</v>
      </c>
      <c r="D240" s="141">
        <v>1</v>
      </c>
      <c r="E240" s="141" t="s">
        <v>6</v>
      </c>
      <c r="F240" s="143">
        <f>D240*'Daftar HPP'!$L$57</f>
        <v>4875.7315789473687</v>
      </c>
      <c r="H240" s="141">
        <v>1</v>
      </c>
      <c r="I240" s="142" t="s">
        <v>112</v>
      </c>
      <c r="J240" s="141">
        <v>1</v>
      </c>
      <c r="K240" s="141" t="s">
        <v>6</v>
      </c>
      <c r="L240" s="143">
        <f>J240*'Daftar HPP'!$L$57</f>
        <v>4875.7315789473687</v>
      </c>
      <c r="T240" s="141">
        <v>1</v>
      </c>
      <c r="U240" s="142" t="s">
        <v>112</v>
      </c>
      <c r="V240" s="141">
        <v>2</v>
      </c>
      <c r="W240" s="141" t="s">
        <v>6</v>
      </c>
      <c r="X240" s="143">
        <f>V240*'Daftar HPP'!$L$57</f>
        <v>9751.4631578947374</v>
      </c>
      <c r="Z240" s="141">
        <v>1</v>
      </c>
      <c r="AA240" s="142" t="s">
        <v>112</v>
      </c>
      <c r="AB240" s="141">
        <v>2</v>
      </c>
      <c r="AC240" s="141" t="s">
        <v>6</v>
      </c>
      <c r="AD240" s="143">
        <f>AB240*'Daftar HPP'!$L$57</f>
        <v>9751.4631578947374</v>
      </c>
    </row>
    <row r="241" spans="2:30" x14ac:dyDescent="0.45">
      <c r="B241" s="141">
        <v>2</v>
      </c>
      <c r="C241" s="142" t="s">
        <v>19</v>
      </c>
      <c r="D241" s="141">
        <v>40</v>
      </c>
      <c r="E241" s="141" t="s">
        <v>8</v>
      </c>
      <c r="F241" s="143">
        <f>D241*'Daftar HPP'!$L$114</f>
        <v>1787.719298245614</v>
      </c>
      <c r="H241" s="141">
        <v>2</v>
      </c>
      <c r="I241" s="142" t="s">
        <v>19</v>
      </c>
      <c r="J241" s="141">
        <v>40</v>
      </c>
      <c r="K241" s="141" t="s">
        <v>8</v>
      </c>
      <c r="L241" s="143">
        <f>J241*'Daftar HPP'!$L$114</f>
        <v>1787.719298245614</v>
      </c>
      <c r="T241" s="141">
        <v>2</v>
      </c>
      <c r="U241" s="142" t="s">
        <v>19</v>
      </c>
      <c r="V241" s="141">
        <v>80</v>
      </c>
      <c r="W241" s="141" t="s">
        <v>8</v>
      </c>
      <c r="X241" s="143">
        <f>V241*'Daftar HPP'!$L$114</f>
        <v>3575.4385964912281</v>
      </c>
      <c r="Z241" s="141">
        <v>2</v>
      </c>
      <c r="AA241" s="142" t="s">
        <v>19</v>
      </c>
      <c r="AB241" s="141">
        <v>80</v>
      </c>
      <c r="AC241" s="141" t="s">
        <v>8</v>
      </c>
      <c r="AD241" s="143">
        <f>AB241*'Daftar HPP'!$L$114</f>
        <v>3575.4385964912281</v>
      </c>
    </row>
    <row r="242" spans="2:30" x14ac:dyDescent="0.45">
      <c r="B242" s="141">
        <v>3</v>
      </c>
      <c r="C242" s="142" t="s">
        <v>254</v>
      </c>
      <c r="D242" s="141">
        <v>1</v>
      </c>
      <c r="E242" s="141" t="s">
        <v>118</v>
      </c>
      <c r="F242" s="143">
        <f>D242*'Daftar HPP'!$F$105</f>
        <v>7659.7900832428531</v>
      </c>
      <c r="H242" s="141">
        <v>3</v>
      </c>
      <c r="I242" s="142" t="s">
        <v>254</v>
      </c>
      <c r="J242" s="141">
        <v>1</v>
      </c>
      <c r="K242" s="141" t="s">
        <v>118</v>
      </c>
      <c r="L242" s="143">
        <f>J242*'Daftar HPP'!$F$105</f>
        <v>7659.7900832428531</v>
      </c>
      <c r="T242" s="141">
        <v>3</v>
      </c>
      <c r="U242" s="142" t="s">
        <v>269</v>
      </c>
      <c r="V242" s="141">
        <v>1</v>
      </c>
      <c r="W242" s="141" t="s">
        <v>118</v>
      </c>
      <c r="X242" s="143">
        <f>V242*'Daftar HPP'!$L$96</f>
        <v>11489.68512486428</v>
      </c>
      <c r="Z242" s="141">
        <v>3</v>
      </c>
      <c r="AA242" s="142" t="s">
        <v>269</v>
      </c>
      <c r="AB242" s="141">
        <v>1</v>
      </c>
      <c r="AC242" s="141" t="s">
        <v>118</v>
      </c>
      <c r="AD242" s="143">
        <f>AB242*'Daftar HPP'!$L$96</f>
        <v>11489.68512486428</v>
      </c>
    </row>
    <row r="243" spans="2:30" x14ac:dyDescent="0.45">
      <c r="B243" s="141">
        <v>4</v>
      </c>
      <c r="C243" s="142" t="s">
        <v>17</v>
      </c>
      <c r="D243" s="141">
        <v>30</v>
      </c>
      <c r="E243" s="141" t="s">
        <v>8</v>
      </c>
      <c r="F243" s="144">
        <f>D243*'Daftar HPP'!$F$152</f>
        <v>2093.9588100686497</v>
      </c>
      <c r="H243" s="141">
        <v>4</v>
      </c>
      <c r="I243" s="142" t="s">
        <v>25</v>
      </c>
      <c r="J243" s="141">
        <v>30</v>
      </c>
      <c r="K243" s="141" t="s">
        <v>8</v>
      </c>
      <c r="L243" s="144">
        <f>J243*'Daftar HPP'!$G$22</f>
        <v>1995</v>
      </c>
      <c r="T243" s="141">
        <v>4</v>
      </c>
      <c r="U243" s="142" t="s">
        <v>17</v>
      </c>
      <c r="V243" s="141">
        <v>30</v>
      </c>
      <c r="W243" s="141" t="s">
        <v>8</v>
      </c>
      <c r="X243" s="144">
        <f>V243*'Daftar HPP'!$F$152</f>
        <v>2093.9588100686497</v>
      </c>
      <c r="Z243" s="141">
        <v>4</v>
      </c>
      <c r="AA243" s="142" t="s">
        <v>25</v>
      </c>
      <c r="AB243" s="141">
        <v>30</v>
      </c>
      <c r="AC243" s="141" t="s">
        <v>8</v>
      </c>
      <c r="AD243" s="144">
        <f>AB243*'Daftar HPP'!$G$22</f>
        <v>1995</v>
      </c>
    </row>
    <row r="244" spans="2:30" x14ac:dyDescent="0.45">
      <c r="B244" s="141">
        <v>5</v>
      </c>
      <c r="C244" s="142" t="s">
        <v>107</v>
      </c>
      <c r="D244" s="141">
        <v>30</v>
      </c>
      <c r="E244" s="141" t="s">
        <v>8</v>
      </c>
      <c r="F244" s="144">
        <f>D244*'Daftar HPP'!$L$152</f>
        <v>2144.1036802532649</v>
      </c>
      <c r="H244" s="141">
        <v>5</v>
      </c>
      <c r="I244" s="142" t="s">
        <v>26</v>
      </c>
      <c r="J244" s="141">
        <v>30</v>
      </c>
      <c r="K244" s="141" t="s">
        <v>8</v>
      </c>
      <c r="L244" s="144">
        <f>J244*'Daftar HPP'!$L$143</f>
        <v>1647.4064221926658</v>
      </c>
      <c r="T244" s="141">
        <v>5</v>
      </c>
      <c r="U244" s="142" t="s">
        <v>107</v>
      </c>
      <c r="V244" s="141">
        <v>30</v>
      </c>
      <c r="W244" s="141" t="s">
        <v>8</v>
      </c>
      <c r="X244" s="144">
        <f>V244*'Daftar HPP'!$L$152</f>
        <v>2144.1036802532649</v>
      </c>
      <c r="Z244" s="141">
        <v>5</v>
      </c>
      <c r="AA244" s="142" t="s">
        <v>26</v>
      </c>
      <c r="AB244" s="141">
        <v>30</v>
      </c>
      <c r="AC244" s="141" t="s">
        <v>8</v>
      </c>
      <c r="AD244" s="144">
        <f>AB244*'Daftar HPP'!$L$143</f>
        <v>1647.4064221926658</v>
      </c>
    </row>
    <row r="245" spans="2:30" x14ac:dyDescent="0.45">
      <c r="B245" s="141">
        <v>6</v>
      </c>
      <c r="C245" s="142" t="s">
        <v>270</v>
      </c>
      <c r="D245" s="141">
        <v>1</v>
      </c>
      <c r="E245" s="141" t="s">
        <v>8</v>
      </c>
      <c r="F245" s="144">
        <f>D245*'Daftar HPP'!$G$33</f>
        <v>100</v>
      </c>
      <c r="H245" s="141">
        <v>6</v>
      </c>
      <c r="I245" s="142" t="s">
        <v>270</v>
      </c>
      <c r="J245" s="141">
        <v>1</v>
      </c>
      <c r="K245" s="141" t="s">
        <v>8</v>
      </c>
      <c r="L245" s="144">
        <f>J245*'Daftar HPP'!$G$33</f>
        <v>100</v>
      </c>
      <c r="T245" s="141">
        <v>6</v>
      </c>
      <c r="U245" s="142" t="s">
        <v>270</v>
      </c>
      <c r="V245" s="141">
        <v>1</v>
      </c>
      <c r="W245" s="141" t="s">
        <v>8</v>
      </c>
      <c r="X245" s="144">
        <f>V245*'Daftar HPP'!$G$33</f>
        <v>100</v>
      </c>
      <c r="Z245" s="141">
        <v>6</v>
      </c>
      <c r="AA245" s="142" t="s">
        <v>270</v>
      </c>
      <c r="AB245" s="141">
        <v>1</v>
      </c>
      <c r="AC245" s="141" t="s">
        <v>8</v>
      </c>
      <c r="AD245" s="144">
        <f>AB245*'Daftar HPP'!$G$33</f>
        <v>100</v>
      </c>
    </row>
    <row r="246" spans="2:30" x14ac:dyDescent="0.45">
      <c r="B246" s="141">
        <v>7</v>
      </c>
      <c r="C246" s="142" t="s">
        <v>251</v>
      </c>
      <c r="D246" s="141">
        <v>1</v>
      </c>
      <c r="E246" s="141" t="s">
        <v>28</v>
      </c>
      <c r="F246" s="144">
        <f>D246*'Daftar HPP'!$G$39</f>
        <v>1100</v>
      </c>
      <c r="H246" s="141">
        <v>7</v>
      </c>
      <c r="I246" s="142" t="s">
        <v>251</v>
      </c>
      <c r="J246" s="141">
        <v>1</v>
      </c>
      <c r="K246" s="141" t="s">
        <v>28</v>
      </c>
      <c r="L246" s="144">
        <f>J246*'Daftar HPP'!$G$39</f>
        <v>1100</v>
      </c>
      <c r="T246" s="141">
        <v>7</v>
      </c>
      <c r="U246" s="142" t="s">
        <v>251</v>
      </c>
      <c r="V246" s="141">
        <v>1</v>
      </c>
      <c r="W246" s="141" t="s">
        <v>28</v>
      </c>
      <c r="X246" s="144">
        <f>V246*'Daftar HPP'!$G$39</f>
        <v>1100</v>
      </c>
      <c r="Z246" s="141">
        <v>7</v>
      </c>
      <c r="AA246" s="142" t="s">
        <v>251</v>
      </c>
      <c r="AB246" s="141">
        <v>1</v>
      </c>
      <c r="AC246" s="141" t="s">
        <v>28</v>
      </c>
      <c r="AD246" s="144">
        <f>AB246*'Daftar HPP'!$G$39</f>
        <v>1100</v>
      </c>
    </row>
    <row r="247" spans="2:30" x14ac:dyDescent="0.45">
      <c r="B247" s="153"/>
      <c r="C247" s="150"/>
      <c r="D247" s="261" t="s">
        <v>53</v>
      </c>
      <c r="E247" s="261"/>
      <c r="F247" s="190">
        <f>SUM(F240:F246)</f>
        <v>19761.30345075775</v>
      </c>
      <c r="H247" s="153"/>
      <c r="I247" s="150"/>
      <c r="J247" s="257" t="s">
        <v>53</v>
      </c>
      <c r="K247" s="258"/>
      <c r="L247" s="190">
        <f>SUM(L240:L246)</f>
        <v>19165.647382628504</v>
      </c>
      <c r="T247" s="153"/>
      <c r="U247" s="150"/>
      <c r="V247" s="261" t="s">
        <v>53</v>
      </c>
      <c r="W247" s="261"/>
      <c r="X247" s="190">
        <f>SUM(X240:X246)</f>
        <v>30254.649369572158</v>
      </c>
      <c r="Z247" s="153"/>
      <c r="AA247" s="150"/>
      <c r="AB247" s="257" t="s">
        <v>53</v>
      </c>
      <c r="AC247" s="258"/>
      <c r="AD247" s="190">
        <f>SUM(AD240:AD246)</f>
        <v>29658.993301442912</v>
      </c>
    </row>
    <row r="248" spans="2:30" x14ac:dyDescent="0.45">
      <c r="B248" s="153"/>
      <c r="C248" s="153"/>
      <c r="D248" s="256" t="s">
        <v>116</v>
      </c>
      <c r="E248" s="256"/>
      <c r="F248" s="147">
        <v>32000</v>
      </c>
      <c r="H248" s="153"/>
      <c r="I248" s="153"/>
      <c r="J248" s="251" t="s">
        <v>116</v>
      </c>
      <c r="K248" s="252"/>
      <c r="L248" s="147">
        <v>32000</v>
      </c>
      <c r="T248" s="153"/>
      <c r="U248" s="153"/>
      <c r="V248" s="256" t="s">
        <v>116</v>
      </c>
      <c r="W248" s="256"/>
      <c r="X248" s="147">
        <v>49000</v>
      </c>
      <c r="Z248" s="153"/>
      <c r="AA248" s="153"/>
      <c r="AB248" s="251" t="s">
        <v>116</v>
      </c>
      <c r="AC248" s="252"/>
      <c r="AD248" s="147">
        <v>49000</v>
      </c>
    </row>
    <row r="249" spans="2:30" x14ac:dyDescent="0.45">
      <c r="B249" s="153"/>
      <c r="C249" s="153"/>
      <c r="D249" s="256" t="s">
        <v>119</v>
      </c>
      <c r="E249" s="256"/>
      <c r="F249" s="148">
        <f>F248-F247</f>
        <v>12238.69654924225</v>
      </c>
      <c r="H249" s="153"/>
      <c r="I249" s="153"/>
      <c r="J249" s="256" t="s">
        <v>119</v>
      </c>
      <c r="K249" s="256"/>
      <c r="L249" s="148">
        <f>L248-L247</f>
        <v>12834.352617371496</v>
      </c>
      <c r="T249" s="153"/>
      <c r="U249" s="153"/>
      <c r="V249" s="256" t="s">
        <v>119</v>
      </c>
      <c r="W249" s="256"/>
      <c r="X249" s="148">
        <f>X248-X247</f>
        <v>18745.350630427842</v>
      </c>
      <c r="Z249" s="153"/>
      <c r="AA249" s="153"/>
      <c r="AB249" s="256" t="s">
        <v>119</v>
      </c>
      <c r="AC249" s="256"/>
      <c r="AD249" s="148">
        <f>AD248-AD247</f>
        <v>19341.006698557088</v>
      </c>
    </row>
    <row r="251" spans="2:30" ht="14.65" thickBot="1" x14ac:dyDescent="0.5">
      <c r="B251" s="2" t="s">
        <v>258</v>
      </c>
      <c r="H251" s="2" t="s">
        <v>262</v>
      </c>
      <c r="T251" s="2" t="s">
        <v>258</v>
      </c>
      <c r="Z251" s="2" t="s">
        <v>262</v>
      </c>
    </row>
    <row r="252" spans="2:30" x14ac:dyDescent="0.45">
      <c r="B252" s="119" t="s">
        <v>0</v>
      </c>
      <c r="C252" s="119" t="s">
        <v>49</v>
      </c>
      <c r="D252" s="119" t="s">
        <v>34</v>
      </c>
      <c r="E252" s="119" t="s">
        <v>50</v>
      </c>
      <c r="F252" s="119" t="s">
        <v>36</v>
      </c>
      <c r="H252" s="119" t="s">
        <v>0</v>
      </c>
      <c r="I252" s="119" t="s">
        <v>49</v>
      </c>
      <c r="J252" s="119" t="s">
        <v>34</v>
      </c>
      <c r="K252" s="119" t="s">
        <v>50</v>
      </c>
      <c r="L252" s="119" t="s">
        <v>36</v>
      </c>
      <c r="T252" s="119" t="s">
        <v>0</v>
      </c>
      <c r="U252" s="119" t="s">
        <v>49</v>
      </c>
      <c r="V252" s="119" t="s">
        <v>34</v>
      </c>
      <c r="W252" s="119" t="s">
        <v>50</v>
      </c>
      <c r="X252" s="119" t="s">
        <v>36</v>
      </c>
      <c r="Z252" s="119" t="s">
        <v>0</v>
      </c>
      <c r="AA252" s="119" t="s">
        <v>49</v>
      </c>
      <c r="AB252" s="119" t="s">
        <v>34</v>
      </c>
      <c r="AC252" s="119" t="s">
        <v>50</v>
      </c>
      <c r="AD252" s="119" t="s">
        <v>36</v>
      </c>
    </row>
    <row r="253" spans="2:30" x14ac:dyDescent="0.45">
      <c r="B253" s="141">
        <v>1</v>
      </c>
      <c r="C253" s="142" t="s">
        <v>112</v>
      </c>
      <c r="D253" s="141">
        <v>1</v>
      </c>
      <c r="E253" s="141" t="s">
        <v>6</v>
      </c>
      <c r="F253" s="143">
        <f>D253*'Daftar HPP'!$L$57</f>
        <v>4875.7315789473687</v>
      </c>
      <c r="H253" s="141">
        <v>1</v>
      </c>
      <c r="I253" s="142" t="s">
        <v>112</v>
      </c>
      <c r="J253" s="141">
        <v>1</v>
      </c>
      <c r="K253" s="141" t="s">
        <v>6</v>
      </c>
      <c r="L253" s="143">
        <f>J253*'Daftar HPP'!$L$57</f>
        <v>4875.7315789473687</v>
      </c>
      <c r="T253" s="141">
        <v>1</v>
      </c>
      <c r="U253" s="142" t="s">
        <v>112</v>
      </c>
      <c r="V253" s="141">
        <v>2</v>
      </c>
      <c r="W253" s="141" t="s">
        <v>6</v>
      </c>
      <c r="X253" s="143">
        <f>V253*'Daftar HPP'!$L$57</f>
        <v>9751.4631578947374</v>
      </c>
      <c r="Z253" s="141">
        <v>1</v>
      </c>
      <c r="AA253" s="142" t="s">
        <v>112</v>
      </c>
      <c r="AB253" s="141">
        <v>2</v>
      </c>
      <c r="AC253" s="141" t="s">
        <v>6</v>
      </c>
      <c r="AD253" s="143">
        <f>AB253*'Daftar HPP'!$L$57</f>
        <v>9751.4631578947374</v>
      </c>
    </row>
    <row r="254" spans="2:30" x14ac:dyDescent="0.45">
      <c r="B254" s="141">
        <v>2</v>
      </c>
      <c r="C254" s="142" t="s">
        <v>19</v>
      </c>
      <c r="D254" s="141">
        <v>40</v>
      </c>
      <c r="E254" s="141" t="s">
        <v>8</v>
      </c>
      <c r="F254" s="143">
        <f>D254*'Daftar HPP'!$L$114</f>
        <v>1787.719298245614</v>
      </c>
      <c r="H254" s="141">
        <v>2</v>
      </c>
      <c r="I254" s="142" t="s">
        <v>19</v>
      </c>
      <c r="J254" s="141">
        <v>40</v>
      </c>
      <c r="K254" s="141" t="s">
        <v>8</v>
      </c>
      <c r="L254" s="143">
        <f>J254*'Daftar HPP'!$L$114</f>
        <v>1787.719298245614</v>
      </c>
      <c r="T254" s="141">
        <v>2</v>
      </c>
      <c r="U254" s="142" t="s">
        <v>19</v>
      </c>
      <c r="V254" s="141">
        <v>80</v>
      </c>
      <c r="W254" s="141" t="s">
        <v>8</v>
      </c>
      <c r="X254" s="143">
        <f>V254*'Daftar HPP'!$L$114</f>
        <v>3575.4385964912281</v>
      </c>
      <c r="Z254" s="141">
        <v>2</v>
      </c>
      <c r="AA254" s="142" t="s">
        <v>19</v>
      </c>
      <c r="AB254" s="141">
        <v>80</v>
      </c>
      <c r="AC254" s="141" t="s">
        <v>8</v>
      </c>
      <c r="AD254" s="143">
        <f>AB254*'Daftar HPP'!$L$114</f>
        <v>3575.4385964912281</v>
      </c>
    </row>
    <row r="255" spans="2:30" x14ac:dyDescent="0.45">
      <c r="B255" s="141">
        <v>3</v>
      </c>
      <c r="C255" s="142" t="s">
        <v>254</v>
      </c>
      <c r="D255" s="141">
        <v>1</v>
      </c>
      <c r="E255" s="141" t="s">
        <v>118</v>
      </c>
      <c r="F255" s="143">
        <f>D255*'Daftar HPP'!$F$105</f>
        <v>7659.7900832428531</v>
      </c>
      <c r="H255" s="141">
        <v>3</v>
      </c>
      <c r="I255" s="142" t="s">
        <v>254</v>
      </c>
      <c r="J255" s="141">
        <v>1</v>
      </c>
      <c r="K255" s="141" t="s">
        <v>118</v>
      </c>
      <c r="L255" s="143">
        <f>J255*'Daftar HPP'!$F$105</f>
        <v>7659.7900832428531</v>
      </c>
      <c r="T255" s="141">
        <v>3</v>
      </c>
      <c r="U255" s="142" t="s">
        <v>269</v>
      </c>
      <c r="V255" s="141">
        <v>1</v>
      </c>
      <c r="W255" s="141" t="s">
        <v>118</v>
      </c>
      <c r="X255" s="143">
        <f>V255*'Daftar HPP'!$L$96</f>
        <v>11489.68512486428</v>
      </c>
      <c r="Z255" s="141">
        <v>3</v>
      </c>
      <c r="AA255" s="142" t="s">
        <v>269</v>
      </c>
      <c r="AB255" s="141">
        <v>1</v>
      </c>
      <c r="AC255" s="141" t="s">
        <v>118</v>
      </c>
      <c r="AD255" s="143">
        <f>AB255*'Daftar HPP'!$L$96</f>
        <v>11489.68512486428</v>
      </c>
    </row>
    <row r="256" spans="2:30" x14ac:dyDescent="0.45">
      <c r="B256" s="141">
        <v>4</v>
      </c>
      <c r="C256" s="142" t="s">
        <v>17</v>
      </c>
      <c r="D256" s="141">
        <v>30</v>
      </c>
      <c r="E256" s="141" t="s">
        <v>8</v>
      </c>
      <c r="F256" s="144">
        <f>D256*'Daftar HPP'!$F$152</f>
        <v>2093.9588100686497</v>
      </c>
      <c r="H256" s="141">
        <v>4</v>
      </c>
      <c r="I256" s="142" t="s">
        <v>107</v>
      </c>
      <c r="J256" s="141">
        <v>30</v>
      </c>
      <c r="K256" s="141" t="s">
        <v>8</v>
      </c>
      <c r="L256" s="144">
        <f>J256*'Daftar HPP'!$L$152</f>
        <v>2144.1036802532649</v>
      </c>
      <c r="T256" s="141">
        <v>4</v>
      </c>
      <c r="U256" s="142" t="s">
        <v>17</v>
      </c>
      <c r="V256" s="141">
        <v>30</v>
      </c>
      <c r="W256" s="141" t="s">
        <v>8</v>
      </c>
      <c r="X256" s="144">
        <f>V256*'Daftar HPP'!$F$152</f>
        <v>2093.9588100686497</v>
      </c>
      <c r="Z256" s="141">
        <v>4</v>
      </c>
      <c r="AA256" s="142" t="s">
        <v>107</v>
      </c>
      <c r="AB256" s="141">
        <v>30</v>
      </c>
      <c r="AC256" s="141" t="s">
        <v>8</v>
      </c>
      <c r="AD256" s="144">
        <f>AB256*'Daftar HPP'!$L$152</f>
        <v>2144.1036802532649</v>
      </c>
    </row>
    <row r="257" spans="2:36" x14ac:dyDescent="0.45">
      <c r="B257" s="141">
        <v>5</v>
      </c>
      <c r="C257" s="142" t="s">
        <v>26</v>
      </c>
      <c r="D257" s="141">
        <v>30</v>
      </c>
      <c r="E257" s="141" t="s">
        <v>8</v>
      </c>
      <c r="F257" s="144">
        <f>D257*'Daftar HPP'!$L$143</f>
        <v>1647.4064221926658</v>
      </c>
      <c r="H257" s="141">
        <v>5</v>
      </c>
      <c r="I257" s="142" t="s">
        <v>105</v>
      </c>
      <c r="J257" s="141">
        <v>30</v>
      </c>
      <c r="K257" s="141" t="s">
        <v>8</v>
      </c>
      <c r="L257" s="144">
        <f>J257*'Daftar HPP'!$F$143</f>
        <v>2146.3497453310692</v>
      </c>
      <c r="T257" s="141">
        <v>5</v>
      </c>
      <c r="U257" s="142" t="s">
        <v>26</v>
      </c>
      <c r="V257" s="141">
        <v>30</v>
      </c>
      <c r="W257" s="141" t="s">
        <v>8</v>
      </c>
      <c r="X257" s="144">
        <f>V257*'Daftar HPP'!$L$143</f>
        <v>1647.4064221926658</v>
      </c>
      <c r="Z257" s="141">
        <v>5</v>
      </c>
      <c r="AA257" s="142" t="s">
        <v>105</v>
      </c>
      <c r="AB257" s="141">
        <v>30</v>
      </c>
      <c r="AC257" s="141" t="s">
        <v>8</v>
      </c>
      <c r="AD257" s="144">
        <f>AB257*'Daftar HPP'!$F$143</f>
        <v>2146.3497453310692</v>
      </c>
    </row>
    <row r="258" spans="2:36" x14ac:dyDescent="0.45">
      <c r="B258" s="141">
        <v>6</v>
      </c>
      <c r="C258" s="142" t="s">
        <v>270</v>
      </c>
      <c r="D258" s="141">
        <v>1</v>
      </c>
      <c r="E258" s="141" t="s">
        <v>8</v>
      </c>
      <c r="F258" s="144">
        <f>D258*'Daftar HPP'!$G$33</f>
        <v>100</v>
      </c>
      <c r="H258" s="141">
        <v>6</v>
      </c>
      <c r="I258" s="142" t="s">
        <v>270</v>
      </c>
      <c r="J258" s="141">
        <v>1</v>
      </c>
      <c r="K258" s="141" t="s">
        <v>8</v>
      </c>
      <c r="L258" s="144">
        <f>J258*'Daftar HPP'!$G$33</f>
        <v>100</v>
      </c>
      <c r="T258" s="141">
        <v>6</v>
      </c>
      <c r="U258" s="142" t="s">
        <v>270</v>
      </c>
      <c r="V258" s="141">
        <v>1</v>
      </c>
      <c r="W258" s="141" t="s">
        <v>8</v>
      </c>
      <c r="X258" s="144">
        <f>V258*'Daftar HPP'!$G$33</f>
        <v>100</v>
      </c>
      <c r="Z258" s="141">
        <v>6</v>
      </c>
      <c r="AA258" s="142" t="s">
        <v>270</v>
      </c>
      <c r="AB258" s="141">
        <v>1</v>
      </c>
      <c r="AC258" s="141" t="s">
        <v>8</v>
      </c>
      <c r="AD258" s="144">
        <f>AB258*'Daftar HPP'!$G$33</f>
        <v>100</v>
      </c>
    </row>
    <row r="259" spans="2:36" x14ac:dyDescent="0.45">
      <c r="B259" s="141">
        <v>7</v>
      </c>
      <c r="C259" s="142" t="s">
        <v>251</v>
      </c>
      <c r="D259" s="141">
        <v>1</v>
      </c>
      <c r="E259" s="141" t="s">
        <v>28</v>
      </c>
      <c r="F259" s="144">
        <f>D259*'Daftar HPP'!$G$39</f>
        <v>1100</v>
      </c>
      <c r="H259" s="141">
        <v>7</v>
      </c>
      <c r="I259" s="142" t="s">
        <v>251</v>
      </c>
      <c r="J259" s="141">
        <v>1</v>
      </c>
      <c r="K259" s="141" t="s">
        <v>28</v>
      </c>
      <c r="L259" s="144">
        <f>J259*'Daftar HPP'!$G$39</f>
        <v>1100</v>
      </c>
      <c r="T259" s="141">
        <v>7</v>
      </c>
      <c r="U259" s="142" t="s">
        <v>251</v>
      </c>
      <c r="V259" s="141">
        <v>1</v>
      </c>
      <c r="W259" s="141" t="s">
        <v>28</v>
      </c>
      <c r="X259" s="144">
        <f>V259*'Daftar HPP'!$G$39</f>
        <v>1100</v>
      </c>
      <c r="Z259" s="141">
        <v>7</v>
      </c>
      <c r="AA259" s="142" t="s">
        <v>251</v>
      </c>
      <c r="AB259" s="141">
        <v>1</v>
      </c>
      <c r="AC259" s="141" t="s">
        <v>28</v>
      </c>
      <c r="AD259" s="144">
        <f>AB259*'Daftar HPP'!$G$39</f>
        <v>1100</v>
      </c>
    </row>
    <row r="260" spans="2:36" x14ac:dyDescent="0.45">
      <c r="B260" s="153"/>
      <c r="C260" s="150"/>
      <c r="D260" s="261" t="s">
        <v>53</v>
      </c>
      <c r="E260" s="261"/>
      <c r="F260" s="190">
        <f>SUM(F253:F259)</f>
        <v>19264.606192697152</v>
      </c>
      <c r="H260" s="153"/>
      <c r="I260" s="150"/>
      <c r="J260" s="261" t="s">
        <v>53</v>
      </c>
      <c r="K260" s="261"/>
      <c r="L260" s="190">
        <f>SUM(L253:L259)</f>
        <v>19813.694386020172</v>
      </c>
      <c r="T260" s="153"/>
      <c r="U260" s="150"/>
      <c r="V260" s="261" t="s">
        <v>53</v>
      </c>
      <c r="W260" s="261"/>
      <c r="X260" s="190">
        <f>SUM(X253:X259)</f>
        <v>29757.95211151156</v>
      </c>
      <c r="Z260" s="153"/>
      <c r="AA260" s="150"/>
      <c r="AB260" s="261" t="s">
        <v>53</v>
      </c>
      <c r="AC260" s="261"/>
      <c r="AD260" s="190">
        <f>SUM(AD253:AD259)</f>
        <v>30307.04030483458</v>
      </c>
    </row>
    <row r="261" spans="2:36" x14ac:dyDescent="0.45">
      <c r="B261" s="153"/>
      <c r="C261" s="153"/>
      <c r="D261" s="256" t="s">
        <v>116</v>
      </c>
      <c r="E261" s="256"/>
      <c r="F261" s="147">
        <v>32000</v>
      </c>
      <c r="H261" s="153"/>
      <c r="I261" s="153"/>
      <c r="J261" s="256" t="s">
        <v>116</v>
      </c>
      <c r="K261" s="256"/>
      <c r="L261" s="147">
        <v>32000</v>
      </c>
      <c r="T261" s="153"/>
      <c r="U261" s="153"/>
      <c r="V261" s="256" t="s">
        <v>116</v>
      </c>
      <c r="W261" s="256"/>
      <c r="X261" s="147">
        <v>49000</v>
      </c>
      <c r="Z261" s="153"/>
      <c r="AA261" s="153"/>
      <c r="AB261" s="256" t="s">
        <v>116</v>
      </c>
      <c r="AC261" s="256"/>
      <c r="AD261" s="147">
        <v>49000</v>
      </c>
    </row>
    <row r="262" spans="2:36" x14ac:dyDescent="0.45">
      <c r="B262" s="153"/>
      <c r="C262" s="153"/>
      <c r="D262" s="256" t="s">
        <v>119</v>
      </c>
      <c r="E262" s="256"/>
      <c r="F262" s="148">
        <f>F261-F260</f>
        <v>12735.393807302848</v>
      </c>
      <c r="H262" s="153"/>
      <c r="I262" s="153"/>
      <c r="J262" s="256" t="s">
        <v>119</v>
      </c>
      <c r="K262" s="256"/>
      <c r="L262" s="148">
        <f>L261-L260</f>
        <v>12186.305613979828</v>
      </c>
      <c r="T262" s="153"/>
      <c r="U262" s="153"/>
      <c r="V262" s="256" t="s">
        <v>119</v>
      </c>
      <c r="W262" s="256"/>
      <c r="X262" s="148">
        <f>X261-X260</f>
        <v>19242.04788848844</v>
      </c>
      <c r="Z262" s="153"/>
      <c r="AA262" s="153"/>
      <c r="AB262" s="256" t="s">
        <v>119</v>
      </c>
      <c r="AC262" s="256"/>
      <c r="AD262" s="148">
        <f>AD261-AD260</f>
        <v>18692.95969516542</v>
      </c>
    </row>
    <row r="264" spans="2:36" ht="15.4" x14ac:dyDescent="0.45">
      <c r="B264" s="259" t="s">
        <v>315</v>
      </c>
      <c r="C264" s="259"/>
      <c r="D264" s="259"/>
      <c r="E264" s="259"/>
      <c r="F264" s="259"/>
      <c r="G264" s="259"/>
      <c r="H264" s="259"/>
      <c r="I264" s="259"/>
      <c r="J264" s="259"/>
      <c r="K264" s="259"/>
      <c r="L264" s="259"/>
      <c r="M264" s="259"/>
      <c r="N264" s="259"/>
      <c r="O264" s="259"/>
      <c r="P264" s="259"/>
      <c r="Q264" s="259"/>
      <c r="R264" s="259"/>
      <c r="T264" s="259" t="s">
        <v>316</v>
      </c>
      <c r="U264" s="259"/>
      <c r="V264" s="259"/>
      <c r="W264" s="259"/>
      <c r="X264" s="259"/>
      <c r="Y264" s="259"/>
      <c r="Z264" s="259"/>
      <c r="AA264" s="259"/>
      <c r="AB264" s="259"/>
      <c r="AC264" s="259"/>
      <c r="AD264" s="259"/>
      <c r="AE264" s="259"/>
      <c r="AF264" s="259"/>
      <c r="AG264" s="259"/>
      <c r="AH264" s="259"/>
      <c r="AI264" s="259"/>
      <c r="AJ264" s="259"/>
    </row>
    <row r="265" spans="2:36" ht="14.65" thickBot="1" x14ac:dyDescent="0.5">
      <c r="B265" s="2" t="s">
        <v>253</v>
      </c>
      <c r="H265" s="2" t="s">
        <v>259</v>
      </c>
      <c r="N265" s="2" t="s">
        <v>263</v>
      </c>
      <c r="T265" s="2" t="s">
        <v>253</v>
      </c>
      <c r="Z265" s="2" t="s">
        <v>259</v>
      </c>
      <c r="AF265" s="2" t="s">
        <v>263</v>
      </c>
    </row>
    <row r="266" spans="2:36" x14ac:dyDescent="0.45">
      <c r="B266" s="119" t="s">
        <v>0</v>
      </c>
      <c r="C266" s="119" t="s">
        <v>49</v>
      </c>
      <c r="D266" s="119" t="s">
        <v>34</v>
      </c>
      <c r="E266" s="119" t="s">
        <v>50</v>
      </c>
      <c r="F266" s="119" t="s">
        <v>36</v>
      </c>
      <c r="H266" s="119" t="s">
        <v>0</v>
      </c>
      <c r="I266" s="119" t="s">
        <v>49</v>
      </c>
      <c r="J266" s="119" t="s">
        <v>34</v>
      </c>
      <c r="K266" s="119" t="s">
        <v>50</v>
      </c>
      <c r="L266" s="119" t="s">
        <v>36</v>
      </c>
      <c r="N266" s="119" t="s">
        <v>0</v>
      </c>
      <c r="O266" s="119" t="s">
        <v>49</v>
      </c>
      <c r="P266" s="119" t="s">
        <v>34</v>
      </c>
      <c r="Q266" s="119" t="s">
        <v>50</v>
      </c>
      <c r="R266" s="119" t="s">
        <v>36</v>
      </c>
      <c r="T266" s="119" t="s">
        <v>0</v>
      </c>
      <c r="U266" s="119" t="s">
        <v>49</v>
      </c>
      <c r="V266" s="119" t="s">
        <v>34</v>
      </c>
      <c r="W266" s="119" t="s">
        <v>50</v>
      </c>
      <c r="X266" s="119" t="s">
        <v>36</v>
      </c>
      <c r="Z266" s="119" t="s">
        <v>0</v>
      </c>
      <c r="AA266" s="119" t="s">
        <v>49</v>
      </c>
      <c r="AB266" s="119" t="s">
        <v>34</v>
      </c>
      <c r="AC266" s="119" t="s">
        <v>50</v>
      </c>
      <c r="AD266" s="119" t="s">
        <v>36</v>
      </c>
      <c r="AF266" s="119" t="s">
        <v>0</v>
      </c>
      <c r="AG266" s="119" t="s">
        <v>49</v>
      </c>
      <c r="AH266" s="119" t="s">
        <v>34</v>
      </c>
      <c r="AI266" s="119" t="s">
        <v>50</v>
      </c>
      <c r="AJ266" s="119" t="s">
        <v>36</v>
      </c>
    </row>
    <row r="267" spans="2:36" x14ac:dyDescent="0.45">
      <c r="B267" s="141">
        <v>1</v>
      </c>
      <c r="C267" s="142" t="s">
        <v>112</v>
      </c>
      <c r="D267" s="141">
        <v>1</v>
      </c>
      <c r="E267" s="141" t="s">
        <v>6</v>
      </c>
      <c r="F267" s="143">
        <f>D267*'Daftar HPP'!$L$57</f>
        <v>4875.7315789473687</v>
      </c>
      <c r="H267" s="141">
        <v>1</v>
      </c>
      <c r="I267" s="142" t="s">
        <v>112</v>
      </c>
      <c r="J267" s="141">
        <v>1</v>
      </c>
      <c r="K267" s="141" t="s">
        <v>6</v>
      </c>
      <c r="L267" s="143">
        <f>J267*'Daftar HPP'!$L$57</f>
        <v>4875.7315789473687</v>
      </c>
      <c r="N267" s="141">
        <v>1</v>
      </c>
      <c r="O267" s="142" t="s">
        <v>112</v>
      </c>
      <c r="P267" s="141">
        <v>1</v>
      </c>
      <c r="Q267" s="141" t="s">
        <v>6</v>
      </c>
      <c r="R267" s="143">
        <f>P267*'Daftar HPP'!$L$57</f>
        <v>4875.7315789473687</v>
      </c>
      <c r="T267" s="141">
        <v>1</v>
      </c>
      <c r="U267" s="142" t="s">
        <v>112</v>
      </c>
      <c r="V267" s="141">
        <v>2</v>
      </c>
      <c r="W267" s="141" t="s">
        <v>6</v>
      </c>
      <c r="X267" s="143">
        <f>V267*'Daftar HPP'!$L$57</f>
        <v>9751.4631578947374</v>
      </c>
      <c r="Z267" s="141">
        <v>1</v>
      </c>
      <c r="AA267" s="142" t="s">
        <v>112</v>
      </c>
      <c r="AB267" s="141">
        <v>2</v>
      </c>
      <c r="AC267" s="141" t="s">
        <v>6</v>
      </c>
      <c r="AD267" s="143">
        <f>AB267*'Daftar HPP'!$L$57</f>
        <v>9751.4631578947374</v>
      </c>
      <c r="AF267" s="141">
        <v>1</v>
      </c>
      <c r="AG267" s="142" t="s">
        <v>112</v>
      </c>
      <c r="AH267" s="141">
        <v>2</v>
      </c>
      <c r="AI267" s="141" t="s">
        <v>6</v>
      </c>
      <c r="AJ267" s="143">
        <f>AH267*'Daftar HPP'!$L$57</f>
        <v>9751.4631578947374</v>
      </c>
    </row>
    <row r="268" spans="2:36" x14ac:dyDescent="0.45">
      <c r="B268" s="141">
        <v>2</v>
      </c>
      <c r="C268" s="142" t="s">
        <v>17</v>
      </c>
      <c r="D268" s="141">
        <v>50</v>
      </c>
      <c r="E268" s="141" t="s">
        <v>8</v>
      </c>
      <c r="F268" s="143">
        <f>D268*'Daftar HPP'!$L$122</f>
        <v>1802.6315789473686</v>
      </c>
      <c r="H268" s="141">
        <v>2</v>
      </c>
      <c r="I268" s="142" t="s">
        <v>17</v>
      </c>
      <c r="J268" s="141">
        <v>50</v>
      </c>
      <c r="K268" s="141" t="s">
        <v>8</v>
      </c>
      <c r="L268" s="143">
        <f>J268*'Daftar HPP'!$L$122</f>
        <v>1802.6315789473686</v>
      </c>
      <c r="N268" s="141">
        <v>2</v>
      </c>
      <c r="O268" s="142" t="s">
        <v>17</v>
      </c>
      <c r="P268" s="141">
        <v>50</v>
      </c>
      <c r="Q268" s="141" t="s">
        <v>8</v>
      </c>
      <c r="R268" s="143">
        <f>P268*'Daftar HPP'!$L$122</f>
        <v>1802.6315789473686</v>
      </c>
      <c r="T268" s="141">
        <v>2</v>
      </c>
      <c r="U268" s="142" t="s">
        <v>17</v>
      </c>
      <c r="V268" s="141">
        <v>100</v>
      </c>
      <c r="W268" s="141" t="s">
        <v>8</v>
      </c>
      <c r="X268" s="143">
        <f>V268*'Daftar HPP'!$L$122</f>
        <v>3605.2631578947371</v>
      </c>
      <c r="Z268" s="141">
        <v>2</v>
      </c>
      <c r="AA268" s="142" t="s">
        <v>17</v>
      </c>
      <c r="AB268" s="141">
        <v>100</v>
      </c>
      <c r="AC268" s="141" t="s">
        <v>8</v>
      </c>
      <c r="AD268" s="143">
        <f>AB268*'Daftar HPP'!$L$122</f>
        <v>3605.2631578947371</v>
      </c>
      <c r="AF268" s="141">
        <v>2</v>
      </c>
      <c r="AG268" s="142" t="s">
        <v>17</v>
      </c>
      <c r="AH268" s="141">
        <v>100</v>
      </c>
      <c r="AI268" s="141" t="s">
        <v>8</v>
      </c>
      <c r="AJ268" s="143">
        <f>AH268*'Daftar HPP'!$L$122</f>
        <v>3605.2631578947371</v>
      </c>
    </row>
    <row r="269" spans="2:36" x14ac:dyDescent="0.45">
      <c r="B269" s="141">
        <v>3</v>
      </c>
      <c r="C269" s="142" t="s">
        <v>254</v>
      </c>
      <c r="D269" s="141">
        <v>1</v>
      </c>
      <c r="E269" s="141" t="s">
        <v>118</v>
      </c>
      <c r="F269" s="143">
        <f>D269*'Daftar HPP'!$F$105</f>
        <v>7659.7900832428531</v>
      </c>
      <c r="H269" s="141">
        <v>3</v>
      </c>
      <c r="I269" s="142" t="s">
        <v>254</v>
      </c>
      <c r="J269" s="141">
        <v>1</v>
      </c>
      <c r="K269" s="141" t="s">
        <v>118</v>
      </c>
      <c r="L269" s="143">
        <f>J269*'Daftar HPP'!$F$105</f>
        <v>7659.7900832428531</v>
      </c>
      <c r="N269" s="141">
        <v>3</v>
      </c>
      <c r="O269" s="142" t="s">
        <v>254</v>
      </c>
      <c r="P269" s="141">
        <v>1</v>
      </c>
      <c r="Q269" s="141" t="s">
        <v>118</v>
      </c>
      <c r="R269" s="143">
        <f>P269*'Daftar HPP'!$F$105</f>
        <v>7659.7900832428531</v>
      </c>
      <c r="T269" s="141">
        <v>3</v>
      </c>
      <c r="U269" s="142" t="s">
        <v>269</v>
      </c>
      <c r="V269" s="141">
        <v>1</v>
      </c>
      <c r="W269" s="141" t="s">
        <v>118</v>
      </c>
      <c r="X269" s="143">
        <f>V269*'Daftar HPP'!$L$96</f>
        <v>11489.68512486428</v>
      </c>
      <c r="Z269" s="141">
        <v>3</v>
      </c>
      <c r="AA269" s="142" t="s">
        <v>269</v>
      </c>
      <c r="AB269" s="141">
        <v>1</v>
      </c>
      <c r="AC269" s="141" t="s">
        <v>118</v>
      </c>
      <c r="AD269" s="143">
        <f>AB269*'Daftar HPP'!$L$96</f>
        <v>11489.68512486428</v>
      </c>
      <c r="AF269" s="141">
        <v>3</v>
      </c>
      <c r="AG269" s="142" t="s">
        <v>269</v>
      </c>
      <c r="AH269" s="141">
        <v>1</v>
      </c>
      <c r="AI269" s="141" t="s">
        <v>118</v>
      </c>
      <c r="AJ269" s="143">
        <f>AH269*'Daftar HPP'!$L$96</f>
        <v>11489.68512486428</v>
      </c>
    </row>
    <row r="270" spans="2:36" x14ac:dyDescent="0.45">
      <c r="B270" s="141">
        <v>4</v>
      </c>
      <c r="C270" s="142" t="s">
        <v>17</v>
      </c>
      <c r="D270" s="141">
        <v>30</v>
      </c>
      <c r="E270" s="141" t="s">
        <v>8</v>
      </c>
      <c r="F270" s="144">
        <f>D270*'Daftar HPP'!$F$152</f>
        <v>2093.9588100686497</v>
      </c>
      <c r="H270" s="141">
        <v>4</v>
      </c>
      <c r="I270" s="142" t="s">
        <v>25</v>
      </c>
      <c r="J270" s="141">
        <v>30</v>
      </c>
      <c r="K270" s="141" t="s">
        <v>8</v>
      </c>
      <c r="L270" s="144">
        <f>J270*'Daftar HPP'!$G$22</f>
        <v>1995</v>
      </c>
      <c r="N270" s="141">
        <v>4</v>
      </c>
      <c r="O270" s="142" t="s">
        <v>107</v>
      </c>
      <c r="P270" s="141">
        <v>30</v>
      </c>
      <c r="Q270" s="141" t="s">
        <v>8</v>
      </c>
      <c r="R270" s="144">
        <f>P270*'Daftar HPP'!$L$152</f>
        <v>2144.1036802532649</v>
      </c>
      <c r="T270" s="141">
        <v>4</v>
      </c>
      <c r="U270" s="142" t="s">
        <v>17</v>
      </c>
      <c r="V270" s="141">
        <v>30</v>
      </c>
      <c r="W270" s="141" t="s">
        <v>8</v>
      </c>
      <c r="X270" s="144">
        <f>V270*'Daftar HPP'!$F$152</f>
        <v>2093.9588100686497</v>
      </c>
      <c r="Z270" s="141">
        <v>4</v>
      </c>
      <c r="AA270" s="142" t="s">
        <v>25</v>
      </c>
      <c r="AB270" s="141">
        <v>30</v>
      </c>
      <c r="AC270" s="141" t="s">
        <v>8</v>
      </c>
      <c r="AD270" s="144">
        <f>AB270*'Daftar HPP'!$G$22</f>
        <v>1995</v>
      </c>
      <c r="AF270" s="141">
        <v>4</v>
      </c>
      <c r="AG270" s="142" t="s">
        <v>107</v>
      </c>
      <c r="AH270" s="141">
        <v>30</v>
      </c>
      <c r="AI270" s="141" t="s">
        <v>8</v>
      </c>
      <c r="AJ270" s="144">
        <f>AH270*'Daftar HPP'!$L$152</f>
        <v>2144.1036802532649</v>
      </c>
    </row>
    <row r="271" spans="2:36" x14ac:dyDescent="0.45">
      <c r="B271" s="141">
        <v>5</v>
      </c>
      <c r="C271" s="142" t="s">
        <v>25</v>
      </c>
      <c r="D271" s="141">
        <v>30</v>
      </c>
      <c r="E271" s="141" t="s">
        <v>8</v>
      </c>
      <c r="F271" s="144">
        <f>D271*'Daftar HPP'!$G$22</f>
        <v>1995</v>
      </c>
      <c r="H271" s="141">
        <v>5</v>
      </c>
      <c r="I271" s="142" t="s">
        <v>105</v>
      </c>
      <c r="J271" s="141">
        <v>30</v>
      </c>
      <c r="K271" s="141" t="s">
        <v>8</v>
      </c>
      <c r="L271" s="144">
        <f>J271*'Daftar HPP'!$F$143</f>
        <v>2146.3497453310692</v>
      </c>
      <c r="N271" s="141">
        <v>5</v>
      </c>
      <c r="O271" s="142" t="s">
        <v>26</v>
      </c>
      <c r="P271" s="141">
        <v>30</v>
      </c>
      <c r="Q271" s="141" t="s">
        <v>8</v>
      </c>
      <c r="R271" s="144">
        <f>P271*'Daftar HPP'!$L$143</f>
        <v>1647.4064221926658</v>
      </c>
      <c r="T271" s="141">
        <v>5</v>
      </c>
      <c r="U271" s="142" t="s">
        <v>25</v>
      </c>
      <c r="V271" s="141">
        <v>30</v>
      </c>
      <c r="W271" s="141" t="s">
        <v>8</v>
      </c>
      <c r="X271" s="144">
        <f>V271*'Daftar HPP'!$G$22</f>
        <v>1995</v>
      </c>
      <c r="Z271" s="141">
        <v>5</v>
      </c>
      <c r="AA271" s="142" t="s">
        <v>105</v>
      </c>
      <c r="AB271" s="141">
        <v>30</v>
      </c>
      <c r="AC271" s="141" t="s">
        <v>8</v>
      </c>
      <c r="AD271" s="144">
        <f>AB271*'Daftar HPP'!$F$143</f>
        <v>2146.3497453310692</v>
      </c>
      <c r="AF271" s="141">
        <v>5</v>
      </c>
      <c r="AG271" s="142" t="s">
        <v>26</v>
      </c>
      <c r="AH271" s="141">
        <v>30</v>
      </c>
      <c r="AI271" s="141" t="s">
        <v>8</v>
      </c>
      <c r="AJ271" s="144">
        <f>AH271*'Daftar HPP'!$L$143</f>
        <v>1647.4064221926658</v>
      </c>
    </row>
    <row r="272" spans="2:36" x14ac:dyDescent="0.45">
      <c r="B272" s="141">
        <v>6</v>
      </c>
      <c r="C272" s="142" t="s">
        <v>270</v>
      </c>
      <c r="D272" s="141">
        <v>1</v>
      </c>
      <c r="E272" s="141" t="s">
        <v>8</v>
      </c>
      <c r="F272" s="144">
        <f>D272*'Daftar HPP'!$G$33</f>
        <v>100</v>
      </c>
      <c r="H272" s="141">
        <v>6</v>
      </c>
      <c r="I272" s="142" t="s">
        <v>270</v>
      </c>
      <c r="J272" s="141">
        <v>1</v>
      </c>
      <c r="K272" s="141" t="s">
        <v>8</v>
      </c>
      <c r="L272" s="144">
        <f>J272*'Daftar HPP'!$G$33</f>
        <v>100</v>
      </c>
      <c r="N272" s="141">
        <v>6</v>
      </c>
      <c r="O272" s="142" t="s">
        <v>270</v>
      </c>
      <c r="P272" s="141">
        <v>1</v>
      </c>
      <c r="Q272" s="141" t="s">
        <v>8</v>
      </c>
      <c r="R272" s="144">
        <f>P272*'Daftar HPP'!$G$33</f>
        <v>100</v>
      </c>
      <c r="T272" s="141">
        <v>6</v>
      </c>
      <c r="U272" s="142" t="s">
        <v>270</v>
      </c>
      <c r="V272" s="141">
        <v>1</v>
      </c>
      <c r="W272" s="141" t="s">
        <v>8</v>
      </c>
      <c r="X272" s="144">
        <f>V272*'Daftar HPP'!$G$33</f>
        <v>100</v>
      </c>
      <c r="Z272" s="141">
        <v>6</v>
      </c>
      <c r="AA272" s="142" t="s">
        <v>270</v>
      </c>
      <c r="AB272" s="141">
        <v>1</v>
      </c>
      <c r="AC272" s="141" t="s">
        <v>8</v>
      </c>
      <c r="AD272" s="144">
        <f>AB272*'Daftar HPP'!$G$33</f>
        <v>100</v>
      </c>
      <c r="AF272" s="141">
        <v>6</v>
      </c>
      <c r="AG272" s="142" t="s">
        <v>270</v>
      </c>
      <c r="AH272" s="141">
        <v>1</v>
      </c>
      <c r="AI272" s="141" t="s">
        <v>8</v>
      </c>
      <c r="AJ272" s="144">
        <f>AH272*'Daftar HPP'!$G$33</f>
        <v>100</v>
      </c>
    </row>
    <row r="273" spans="2:36" x14ac:dyDescent="0.45">
      <c r="B273" s="141">
        <v>7</v>
      </c>
      <c r="C273" s="142" t="s">
        <v>251</v>
      </c>
      <c r="D273" s="141">
        <v>1</v>
      </c>
      <c r="E273" s="141" t="s">
        <v>28</v>
      </c>
      <c r="F273" s="144">
        <f>D273*'Daftar HPP'!$G$39</f>
        <v>1100</v>
      </c>
      <c r="H273" s="141">
        <v>7</v>
      </c>
      <c r="I273" s="142" t="s">
        <v>251</v>
      </c>
      <c r="J273" s="141">
        <v>1</v>
      </c>
      <c r="K273" s="141" t="s">
        <v>28</v>
      </c>
      <c r="L273" s="144">
        <f>J273*'Daftar HPP'!$G$39</f>
        <v>1100</v>
      </c>
      <c r="N273" s="141">
        <v>7</v>
      </c>
      <c r="O273" s="142" t="s">
        <v>251</v>
      </c>
      <c r="P273" s="141">
        <v>1</v>
      </c>
      <c r="Q273" s="141" t="s">
        <v>28</v>
      </c>
      <c r="R273" s="144">
        <f>P273*'Daftar HPP'!$G$39</f>
        <v>1100</v>
      </c>
      <c r="T273" s="141">
        <v>7</v>
      </c>
      <c r="U273" s="142" t="s">
        <v>251</v>
      </c>
      <c r="V273" s="141">
        <v>1</v>
      </c>
      <c r="W273" s="141" t="s">
        <v>28</v>
      </c>
      <c r="X273" s="144">
        <f>V273*'Daftar HPP'!$G$39</f>
        <v>1100</v>
      </c>
      <c r="Z273" s="141">
        <v>7</v>
      </c>
      <c r="AA273" s="142" t="s">
        <v>251</v>
      </c>
      <c r="AB273" s="141">
        <v>1</v>
      </c>
      <c r="AC273" s="141" t="s">
        <v>28</v>
      </c>
      <c r="AD273" s="144">
        <f>AB273*'Daftar HPP'!$G$39</f>
        <v>1100</v>
      </c>
      <c r="AF273" s="141">
        <v>7</v>
      </c>
      <c r="AG273" s="142" t="s">
        <v>251</v>
      </c>
      <c r="AH273" s="141">
        <v>1</v>
      </c>
      <c r="AI273" s="141" t="s">
        <v>28</v>
      </c>
      <c r="AJ273" s="144">
        <f>AH273*'Daftar HPP'!$G$39</f>
        <v>1100</v>
      </c>
    </row>
    <row r="274" spans="2:36" x14ac:dyDescent="0.45">
      <c r="B274" s="153"/>
      <c r="C274" s="150"/>
      <c r="D274" s="261" t="s">
        <v>53</v>
      </c>
      <c r="E274" s="261"/>
      <c r="F274" s="190">
        <f>SUM(F267:F273)</f>
        <v>19627.112051206241</v>
      </c>
      <c r="H274" s="153"/>
      <c r="I274" s="150"/>
      <c r="J274" s="261" t="s">
        <v>53</v>
      </c>
      <c r="K274" s="261"/>
      <c r="L274" s="190">
        <f>SUM(L267:L273)</f>
        <v>19679.502986468658</v>
      </c>
      <c r="N274" s="153"/>
      <c r="O274" s="150"/>
      <c r="P274" s="261" t="s">
        <v>53</v>
      </c>
      <c r="Q274" s="261"/>
      <c r="R274" s="190">
        <f>SUM(R267:R273)</f>
        <v>19329.663343583521</v>
      </c>
      <c r="T274" s="153"/>
      <c r="U274" s="150"/>
      <c r="V274" s="261" t="s">
        <v>53</v>
      </c>
      <c r="W274" s="261"/>
      <c r="X274" s="190">
        <f>SUM(X267:X273)</f>
        <v>30135.370250722404</v>
      </c>
      <c r="Z274" s="153"/>
      <c r="AA274" s="150"/>
      <c r="AB274" s="261" t="s">
        <v>53</v>
      </c>
      <c r="AC274" s="261"/>
      <c r="AD274" s="190">
        <f>SUM(AD267:AD273)</f>
        <v>30187.761185984826</v>
      </c>
      <c r="AF274" s="153"/>
      <c r="AG274" s="150"/>
      <c r="AH274" s="261" t="s">
        <v>53</v>
      </c>
      <c r="AI274" s="261"/>
      <c r="AJ274" s="190">
        <f>SUM(AJ267:AJ273)</f>
        <v>29837.921543099688</v>
      </c>
    </row>
    <row r="275" spans="2:36" x14ac:dyDescent="0.45">
      <c r="B275" s="153"/>
      <c r="C275" s="153"/>
      <c r="D275" s="256" t="s">
        <v>116</v>
      </c>
      <c r="E275" s="256"/>
      <c r="F275" s="147">
        <v>32000</v>
      </c>
      <c r="H275" s="153"/>
      <c r="I275" s="153"/>
      <c r="J275" s="256" t="s">
        <v>116</v>
      </c>
      <c r="K275" s="256"/>
      <c r="L275" s="147">
        <v>32000</v>
      </c>
      <c r="N275" s="153"/>
      <c r="O275" s="153"/>
      <c r="P275" s="256" t="s">
        <v>116</v>
      </c>
      <c r="Q275" s="256"/>
      <c r="R275" s="147">
        <v>32000</v>
      </c>
      <c r="T275" s="153"/>
      <c r="U275" s="153"/>
      <c r="V275" s="256" t="s">
        <v>116</v>
      </c>
      <c r="W275" s="256"/>
      <c r="X275" s="147">
        <v>49000</v>
      </c>
      <c r="Z275" s="153"/>
      <c r="AA275" s="153"/>
      <c r="AB275" s="256" t="s">
        <v>116</v>
      </c>
      <c r="AC275" s="256"/>
      <c r="AD275" s="147">
        <v>49000</v>
      </c>
      <c r="AF275" s="153"/>
      <c r="AG275" s="153"/>
      <c r="AH275" s="256" t="s">
        <v>116</v>
      </c>
      <c r="AI275" s="256"/>
      <c r="AJ275" s="147">
        <v>49000</v>
      </c>
    </row>
    <row r="276" spans="2:36" x14ac:dyDescent="0.45">
      <c r="B276" s="153"/>
      <c r="C276" s="153"/>
      <c r="D276" s="256" t="s">
        <v>119</v>
      </c>
      <c r="E276" s="256"/>
      <c r="F276" s="148">
        <f>F275-F274</f>
        <v>12372.887948793759</v>
      </c>
      <c r="H276" s="153"/>
      <c r="I276" s="153"/>
      <c r="J276" s="256" t="s">
        <v>119</v>
      </c>
      <c r="K276" s="256"/>
      <c r="L276" s="148">
        <f>L275-L274</f>
        <v>12320.497013531342</v>
      </c>
      <c r="N276" s="153"/>
      <c r="O276" s="153"/>
      <c r="P276" s="256" t="s">
        <v>119</v>
      </c>
      <c r="Q276" s="256"/>
      <c r="R276" s="148">
        <f>R275-R274</f>
        <v>12670.336656416479</v>
      </c>
      <c r="T276" s="153"/>
      <c r="U276" s="153"/>
      <c r="V276" s="256" t="s">
        <v>119</v>
      </c>
      <c r="W276" s="256"/>
      <c r="X276" s="148">
        <f>X275-X274</f>
        <v>18864.629749277596</v>
      </c>
      <c r="Z276" s="153"/>
      <c r="AA276" s="153"/>
      <c r="AB276" s="256" t="s">
        <v>119</v>
      </c>
      <c r="AC276" s="256"/>
      <c r="AD276" s="148">
        <f>AD275-AD274</f>
        <v>18812.238814015174</v>
      </c>
      <c r="AF276" s="153"/>
      <c r="AG276" s="153"/>
      <c r="AH276" s="256" t="s">
        <v>119</v>
      </c>
      <c r="AI276" s="256"/>
      <c r="AJ276" s="148">
        <f>AJ275-AJ274</f>
        <v>19162.078456900312</v>
      </c>
    </row>
    <row r="278" spans="2:36" ht="14.65" thickBot="1" x14ac:dyDescent="0.5">
      <c r="B278" s="2" t="s">
        <v>256</v>
      </c>
      <c r="H278" s="2" t="s">
        <v>260</v>
      </c>
      <c r="N278" s="2" t="s">
        <v>307</v>
      </c>
      <c r="T278" s="2" t="s">
        <v>256</v>
      </c>
      <c r="Z278" s="2" t="s">
        <v>260</v>
      </c>
      <c r="AF278" s="2" t="s">
        <v>307</v>
      </c>
    </row>
    <row r="279" spans="2:36" x14ac:dyDescent="0.45">
      <c r="B279" s="119" t="s">
        <v>0</v>
      </c>
      <c r="C279" s="119" t="s">
        <v>49</v>
      </c>
      <c r="D279" s="119" t="s">
        <v>34</v>
      </c>
      <c r="E279" s="119" t="s">
        <v>50</v>
      </c>
      <c r="F279" s="119" t="s">
        <v>36</v>
      </c>
      <c r="H279" s="119" t="s">
        <v>0</v>
      </c>
      <c r="I279" s="119" t="s">
        <v>49</v>
      </c>
      <c r="J279" s="119" t="s">
        <v>34</v>
      </c>
      <c r="K279" s="119" t="s">
        <v>50</v>
      </c>
      <c r="L279" s="119" t="s">
        <v>36</v>
      </c>
      <c r="N279" s="119" t="s">
        <v>0</v>
      </c>
      <c r="O279" s="119" t="s">
        <v>49</v>
      </c>
      <c r="P279" s="119" t="s">
        <v>34</v>
      </c>
      <c r="Q279" s="119" t="s">
        <v>50</v>
      </c>
      <c r="R279" s="119" t="s">
        <v>36</v>
      </c>
      <c r="T279" s="119" t="s">
        <v>0</v>
      </c>
      <c r="U279" s="119" t="s">
        <v>49</v>
      </c>
      <c r="V279" s="119" t="s">
        <v>34</v>
      </c>
      <c r="W279" s="119" t="s">
        <v>50</v>
      </c>
      <c r="X279" s="119" t="s">
        <v>36</v>
      </c>
      <c r="Z279" s="119" t="s">
        <v>0</v>
      </c>
      <c r="AA279" s="119" t="s">
        <v>49</v>
      </c>
      <c r="AB279" s="119" t="s">
        <v>34</v>
      </c>
      <c r="AC279" s="119" t="s">
        <v>50</v>
      </c>
      <c r="AD279" s="119" t="s">
        <v>36</v>
      </c>
      <c r="AF279" s="119" t="s">
        <v>0</v>
      </c>
      <c r="AG279" s="119" t="s">
        <v>49</v>
      </c>
      <c r="AH279" s="119" t="s">
        <v>34</v>
      </c>
      <c r="AI279" s="119" t="s">
        <v>50</v>
      </c>
      <c r="AJ279" s="119" t="s">
        <v>36</v>
      </c>
    </row>
    <row r="280" spans="2:36" x14ac:dyDescent="0.45">
      <c r="B280" s="141">
        <v>1</v>
      </c>
      <c r="C280" s="142" t="s">
        <v>112</v>
      </c>
      <c r="D280" s="141">
        <v>1</v>
      </c>
      <c r="E280" s="141" t="s">
        <v>6</v>
      </c>
      <c r="F280" s="143">
        <f>D280*'Daftar HPP'!$L$57</f>
        <v>4875.7315789473687</v>
      </c>
      <c r="H280" s="141">
        <v>1</v>
      </c>
      <c r="I280" s="142" t="s">
        <v>112</v>
      </c>
      <c r="J280" s="141">
        <v>1</v>
      </c>
      <c r="K280" s="141" t="s">
        <v>6</v>
      </c>
      <c r="L280" s="143">
        <f>J280*'Daftar HPP'!$L$57</f>
        <v>4875.7315789473687</v>
      </c>
      <c r="N280" s="141">
        <v>1</v>
      </c>
      <c r="O280" s="142" t="s">
        <v>112</v>
      </c>
      <c r="P280" s="141">
        <v>1</v>
      </c>
      <c r="Q280" s="141" t="s">
        <v>6</v>
      </c>
      <c r="R280" s="143">
        <f>P280*'Daftar HPP'!$L$57</f>
        <v>4875.7315789473687</v>
      </c>
      <c r="T280" s="141">
        <v>1</v>
      </c>
      <c r="U280" s="142" t="s">
        <v>112</v>
      </c>
      <c r="V280" s="141">
        <v>2</v>
      </c>
      <c r="W280" s="141" t="s">
        <v>6</v>
      </c>
      <c r="X280" s="143">
        <f>V280*'Daftar HPP'!$L$57</f>
        <v>9751.4631578947374</v>
      </c>
      <c r="Z280" s="141">
        <v>1</v>
      </c>
      <c r="AA280" s="142" t="s">
        <v>112</v>
      </c>
      <c r="AB280" s="141">
        <v>2</v>
      </c>
      <c r="AC280" s="141" t="s">
        <v>6</v>
      </c>
      <c r="AD280" s="143">
        <f>AB280*'Daftar HPP'!$L$57</f>
        <v>9751.4631578947374</v>
      </c>
      <c r="AF280" s="141">
        <v>1</v>
      </c>
      <c r="AG280" s="142" t="s">
        <v>112</v>
      </c>
      <c r="AH280" s="141">
        <v>2</v>
      </c>
      <c r="AI280" s="141" t="s">
        <v>6</v>
      </c>
      <c r="AJ280" s="143">
        <f>AH280*'Daftar HPP'!$L$57</f>
        <v>9751.4631578947374</v>
      </c>
    </row>
    <row r="281" spans="2:36" x14ac:dyDescent="0.45">
      <c r="B281" s="141">
        <v>2</v>
      </c>
      <c r="C281" s="142" t="s">
        <v>17</v>
      </c>
      <c r="D281" s="141">
        <v>50</v>
      </c>
      <c r="E281" s="141" t="s">
        <v>8</v>
      </c>
      <c r="F281" s="143">
        <f>D281*'Daftar HPP'!$L$122</f>
        <v>1802.6315789473686</v>
      </c>
      <c r="H281" s="141">
        <v>2</v>
      </c>
      <c r="I281" s="142" t="s">
        <v>17</v>
      </c>
      <c r="J281" s="141">
        <v>50</v>
      </c>
      <c r="K281" s="141" t="s">
        <v>8</v>
      </c>
      <c r="L281" s="143">
        <f>J281*'Daftar HPP'!$L$122</f>
        <v>1802.6315789473686</v>
      </c>
      <c r="N281" s="141">
        <v>2</v>
      </c>
      <c r="O281" s="142" t="s">
        <v>17</v>
      </c>
      <c r="P281" s="141">
        <v>50</v>
      </c>
      <c r="Q281" s="141" t="s">
        <v>8</v>
      </c>
      <c r="R281" s="143">
        <f>P281*'Daftar HPP'!$L$122</f>
        <v>1802.6315789473686</v>
      </c>
      <c r="T281" s="141">
        <v>2</v>
      </c>
      <c r="U281" s="142" t="s">
        <v>17</v>
      </c>
      <c r="V281" s="141">
        <v>100</v>
      </c>
      <c r="W281" s="141" t="s">
        <v>8</v>
      </c>
      <c r="X281" s="143">
        <f>V281*'Daftar HPP'!$L$122</f>
        <v>3605.2631578947371</v>
      </c>
      <c r="Z281" s="141">
        <v>2</v>
      </c>
      <c r="AA281" s="142" t="s">
        <v>17</v>
      </c>
      <c r="AB281" s="141">
        <v>100</v>
      </c>
      <c r="AC281" s="141" t="s">
        <v>8</v>
      </c>
      <c r="AD281" s="143">
        <f>AB281*'Daftar HPP'!$L$122</f>
        <v>3605.2631578947371</v>
      </c>
      <c r="AF281" s="141">
        <v>2</v>
      </c>
      <c r="AG281" s="142" t="s">
        <v>17</v>
      </c>
      <c r="AH281" s="141">
        <v>100</v>
      </c>
      <c r="AI281" s="141" t="s">
        <v>8</v>
      </c>
      <c r="AJ281" s="143">
        <f>AH281*'Daftar HPP'!$L$122</f>
        <v>3605.2631578947371</v>
      </c>
    </row>
    <row r="282" spans="2:36" x14ac:dyDescent="0.45">
      <c r="B282" s="141">
        <v>3</v>
      </c>
      <c r="C282" s="142" t="s">
        <v>254</v>
      </c>
      <c r="D282" s="141">
        <v>1</v>
      </c>
      <c r="E282" s="141" t="s">
        <v>118</v>
      </c>
      <c r="F282" s="143">
        <f>D282*'Daftar HPP'!$F$105</f>
        <v>7659.7900832428531</v>
      </c>
      <c r="H282" s="141">
        <v>3</v>
      </c>
      <c r="I282" s="142" t="s">
        <v>254</v>
      </c>
      <c r="J282" s="141">
        <v>1</v>
      </c>
      <c r="K282" s="141" t="s">
        <v>118</v>
      </c>
      <c r="L282" s="143">
        <f>J282*'Daftar HPP'!$F$105</f>
        <v>7659.7900832428531</v>
      </c>
      <c r="N282" s="141">
        <v>3</v>
      </c>
      <c r="O282" s="142" t="s">
        <v>254</v>
      </c>
      <c r="P282" s="141">
        <v>1</v>
      </c>
      <c r="Q282" s="141" t="s">
        <v>118</v>
      </c>
      <c r="R282" s="143">
        <f>P282*'Daftar HPP'!$F$105</f>
        <v>7659.7900832428531</v>
      </c>
      <c r="T282" s="141">
        <v>3</v>
      </c>
      <c r="U282" s="142" t="s">
        <v>269</v>
      </c>
      <c r="V282" s="141">
        <v>1</v>
      </c>
      <c r="W282" s="141" t="s">
        <v>118</v>
      </c>
      <c r="X282" s="143">
        <f>V282*'Daftar HPP'!$L$96</f>
        <v>11489.68512486428</v>
      </c>
      <c r="Z282" s="141">
        <v>3</v>
      </c>
      <c r="AA282" s="142" t="s">
        <v>269</v>
      </c>
      <c r="AB282" s="141">
        <v>1</v>
      </c>
      <c r="AC282" s="141" t="s">
        <v>118</v>
      </c>
      <c r="AD282" s="143">
        <f>AB282*'Daftar HPP'!$L$96</f>
        <v>11489.68512486428</v>
      </c>
      <c r="AF282" s="141">
        <v>3</v>
      </c>
      <c r="AG282" s="142" t="s">
        <v>269</v>
      </c>
      <c r="AH282" s="141">
        <v>1</v>
      </c>
      <c r="AI282" s="141" t="s">
        <v>118</v>
      </c>
      <c r="AJ282" s="143">
        <f>AH282*'Daftar HPP'!$L$96</f>
        <v>11489.68512486428</v>
      </c>
    </row>
    <row r="283" spans="2:36" x14ac:dyDescent="0.45">
      <c r="B283" s="141">
        <v>4</v>
      </c>
      <c r="C283" s="142" t="s">
        <v>17</v>
      </c>
      <c r="D283" s="141">
        <v>30</v>
      </c>
      <c r="E283" s="141" t="s">
        <v>8</v>
      </c>
      <c r="F283" s="144">
        <f>D283*'Daftar HPP'!$F$152</f>
        <v>2093.9588100686497</v>
      </c>
      <c r="H283" s="141">
        <v>4</v>
      </c>
      <c r="I283" s="142" t="s">
        <v>25</v>
      </c>
      <c r="J283" s="141">
        <v>30</v>
      </c>
      <c r="K283" s="141" t="s">
        <v>8</v>
      </c>
      <c r="L283" s="144">
        <f>J283*'Daftar HPP'!$G$22</f>
        <v>1995</v>
      </c>
      <c r="N283" s="141">
        <v>4</v>
      </c>
      <c r="O283" s="142" t="s">
        <v>107</v>
      </c>
      <c r="P283" s="141">
        <v>30</v>
      </c>
      <c r="Q283" s="141" t="s">
        <v>8</v>
      </c>
      <c r="R283" s="144">
        <f>P283*'Daftar HPP'!$L$152</f>
        <v>2144.1036802532649</v>
      </c>
      <c r="T283" s="141">
        <v>4</v>
      </c>
      <c r="U283" s="142" t="s">
        <v>17</v>
      </c>
      <c r="V283" s="141">
        <v>30</v>
      </c>
      <c r="W283" s="141" t="s">
        <v>8</v>
      </c>
      <c r="X283" s="144">
        <f>V283*'Daftar HPP'!$F$152</f>
        <v>2093.9588100686497</v>
      </c>
      <c r="Z283" s="141">
        <v>4</v>
      </c>
      <c r="AA283" s="142" t="s">
        <v>25</v>
      </c>
      <c r="AB283" s="141">
        <v>30</v>
      </c>
      <c r="AC283" s="141" t="s">
        <v>8</v>
      </c>
      <c r="AD283" s="144">
        <f>AB283*'Daftar HPP'!$G$22</f>
        <v>1995</v>
      </c>
      <c r="AF283" s="141">
        <v>4</v>
      </c>
      <c r="AG283" s="142" t="s">
        <v>107</v>
      </c>
      <c r="AH283" s="141">
        <v>30</v>
      </c>
      <c r="AI283" s="141" t="s">
        <v>8</v>
      </c>
      <c r="AJ283" s="144">
        <f>AH283*'Daftar HPP'!$L$152</f>
        <v>2144.1036802532649</v>
      </c>
    </row>
    <row r="284" spans="2:36" x14ac:dyDescent="0.45">
      <c r="B284" s="141">
        <v>5</v>
      </c>
      <c r="C284" s="142" t="s">
        <v>105</v>
      </c>
      <c r="D284" s="141">
        <v>30</v>
      </c>
      <c r="E284" s="141" t="s">
        <v>8</v>
      </c>
      <c r="F284" s="144">
        <f>D284*'Daftar HPP'!$F$143</f>
        <v>2146.3497453310692</v>
      </c>
      <c r="H284" s="141">
        <v>5</v>
      </c>
      <c r="I284" s="142" t="s">
        <v>107</v>
      </c>
      <c r="J284" s="141">
        <v>30</v>
      </c>
      <c r="K284" s="141" t="s">
        <v>8</v>
      </c>
      <c r="L284" s="144">
        <f>J284*'Daftar HPP'!$L$152</f>
        <v>2144.1036802532649</v>
      </c>
      <c r="N284" s="141">
        <v>5</v>
      </c>
      <c r="O284" s="142" t="s">
        <v>26</v>
      </c>
      <c r="P284" s="141">
        <v>30</v>
      </c>
      <c r="Q284" s="141" t="s">
        <v>8</v>
      </c>
      <c r="R284" s="144">
        <f>P284*'Daftar HPP'!$L$143</f>
        <v>1647.4064221926658</v>
      </c>
      <c r="T284" s="141">
        <v>5</v>
      </c>
      <c r="U284" s="142" t="s">
        <v>105</v>
      </c>
      <c r="V284" s="141">
        <v>30</v>
      </c>
      <c r="W284" s="141" t="s">
        <v>8</v>
      </c>
      <c r="X284" s="144">
        <f>V284*'Daftar HPP'!$F$143</f>
        <v>2146.3497453310692</v>
      </c>
      <c r="Z284" s="141">
        <v>5</v>
      </c>
      <c r="AA284" s="142" t="s">
        <v>107</v>
      </c>
      <c r="AB284" s="141">
        <v>30</v>
      </c>
      <c r="AC284" s="141" t="s">
        <v>8</v>
      </c>
      <c r="AD284" s="144">
        <f>AB284*'Daftar HPP'!$L$152</f>
        <v>2144.1036802532649</v>
      </c>
      <c r="AF284" s="141">
        <v>5</v>
      </c>
      <c r="AG284" s="142" t="s">
        <v>26</v>
      </c>
      <c r="AH284" s="141">
        <v>30</v>
      </c>
      <c r="AI284" s="141" t="s">
        <v>8</v>
      </c>
      <c r="AJ284" s="144">
        <f>AH284*'Daftar HPP'!$L$143</f>
        <v>1647.4064221926658</v>
      </c>
    </row>
    <row r="285" spans="2:36" x14ac:dyDescent="0.45">
      <c r="B285" s="141">
        <v>6</v>
      </c>
      <c r="C285" s="142" t="s">
        <v>270</v>
      </c>
      <c r="D285" s="141">
        <v>1</v>
      </c>
      <c r="E285" s="141" t="s">
        <v>8</v>
      </c>
      <c r="F285" s="144">
        <f>D285*'Daftar HPP'!$G$33</f>
        <v>100</v>
      </c>
      <c r="H285" s="141">
        <v>6</v>
      </c>
      <c r="I285" s="142" t="s">
        <v>270</v>
      </c>
      <c r="J285" s="141">
        <v>1</v>
      </c>
      <c r="K285" s="141" t="s">
        <v>8</v>
      </c>
      <c r="L285" s="144">
        <f>J285*'Daftar HPP'!$G$33</f>
        <v>100</v>
      </c>
      <c r="N285" s="141">
        <v>6</v>
      </c>
      <c r="O285" s="142" t="s">
        <v>270</v>
      </c>
      <c r="P285" s="141">
        <v>1</v>
      </c>
      <c r="Q285" s="141" t="s">
        <v>8</v>
      </c>
      <c r="R285" s="144">
        <f>P285*'Daftar HPP'!$G$33</f>
        <v>100</v>
      </c>
      <c r="T285" s="141">
        <v>6</v>
      </c>
      <c r="U285" s="142" t="s">
        <v>270</v>
      </c>
      <c r="V285" s="141">
        <v>1</v>
      </c>
      <c r="W285" s="141" t="s">
        <v>8</v>
      </c>
      <c r="X285" s="144">
        <f>V285*'Daftar HPP'!$G$33</f>
        <v>100</v>
      </c>
      <c r="Z285" s="141">
        <v>6</v>
      </c>
      <c r="AA285" s="142" t="s">
        <v>270</v>
      </c>
      <c r="AB285" s="141">
        <v>1</v>
      </c>
      <c r="AC285" s="141" t="s">
        <v>8</v>
      </c>
      <c r="AD285" s="144">
        <f>AB285*'Daftar HPP'!$G$33</f>
        <v>100</v>
      </c>
      <c r="AF285" s="141">
        <v>6</v>
      </c>
      <c r="AG285" s="142" t="s">
        <v>270</v>
      </c>
      <c r="AH285" s="141">
        <v>1</v>
      </c>
      <c r="AI285" s="141" t="s">
        <v>8</v>
      </c>
      <c r="AJ285" s="144">
        <f>AH285*'Daftar HPP'!$G$33</f>
        <v>100</v>
      </c>
    </row>
    <row r="286" spans="2:36" x14ac:dyDescent="0.45">
      <c r="B286" s="141">
        <v>7</v>
      </c>
      <c r="C286" s="142" t="s">
        <v>251</v>
      </c>
      <c r="D286" s="141">
        <v>1</v>
      </c>
      <c r="E286" s="141" t="s">
        <v>28</v>
      </c>
      <c r="F286" s="144">
        <f>D286*'Daftar HPP'!$G$39</f>
        <v>1100</v>
      </c>
      <c r="H286" s="141">
        <v>7</v>
      </c>
      <c r="I286" s="142" t="s">
        <v>251</v>
      </c>
      <c r="J286" s="141">
        <v>1</v>
      </c>
      <c r="K286" s="141" t="s">
        <v>28</v>
      </c>
      <c r="L286" s="144">
        <f>J286*'Daftar HPP'!$G$39</f>
        <v>1100</v>
      </c>
      <c r="N286" s="141">
        <v>7</v>
      </c>
      <c r="O286" s="142" t="s">
        <v>251</v>
      </c>
      <c r="P286" s="141">
        <v>1</v>
      </c>
      <c r="Q286" s="141" t="s">
        <v>28</v>
      </c>
      <c r="R286" s="144">
        <f>P286*'Daftar HPP'!$G$39</f>
        <v>1100</v>
      </c>
      <c r="T286" s="141">
        <v>7</v>
      </c>
      <c r="U286" s="142" t="s">
        <v>251</v>
      </c>
      <c r="V286" s="141">
        <v>1</v>
      </c>
      <c r="W286" s="141" t="s">
        <v>28</v>
      </c>
      <c r="X286" s="144">
        <f>V286*'Daftar HPP'!$G$39</f>
        <v>1100</v>
      </c>
      <c r="Z286" s="141">
        <v>7</v>
      </c>
      <c r="AA286" s="142" t="s">
        <v>251</v>
      </c>
      <c r="AB286" s="141">
        <v>1</v>
      </c>
      <c r="AC286" s="141" t="s">
        <v>28</v>
      </c>
      <c r="AD286" s="144">
        <f>AB286*'Daftar HPP'!$G$39</f>
        <v>1100</v>
      </c>
      <c r="AF286" s="141">
        <v>7</v>
      </c>
      <c r="AG286" s="142" t="s">
        <v>251</v>
      </c>
      <c r="AH286" s="141">
        <v>1</v>
      </c>
      <c r="AI286" s="141" t="s">
        <v>28</v>
      </c>
      <c r="AJ286" s="144">
        <f>AH286*'Daftar HPP'!$G$39</f>
        <v>1100</v>
      </c>
    </row>
    <row r="287" spans="2:36" x14ac:dyDescent="0.45">
      <c r="B287" s="153"/>
      <c r="C287" s="150"/>
      <c r="D287" s="261" t="s">
        <v>53</v>
      </c>
      <c r="E287" s="261"/>
      <c r="F287" s="190">
        <f>SUM(F280:F286)</f>
        <v>19778.461796537311</v>
      </c>
      <c r="H287" s="153"/>
      <c r="I287" s="150"/>
      <c r="J287" s="261" t="s">
        <v>53</v>
      </c>
      <c r="K287" s="261"/>
      <c r="L287" s="190">
        <f>SUM(L280:L286)</f>
        <v>19677.256921390854</v>
      </c>
      <c r="N287" s="153"/>
      <c r="O287" s="150"/>
      <c r="P287" s="261" t="s">
        <v>53</v>
      </c>
      <c r="Q287" s="261"/>
      <c r="R287" s="190">
        <f>SUM(R280:R286)</f>
        <v>19329.663343583521</v>
      </c>
      <c r="T287" s="153"/>
      <c r="U287" s="150"/>
      <c r="V287" s="261" t="s">
        <v>53</v>
      </c>
      <c r="W287" s="261"/>
      <c r="X287" s="190">
        <f>SUM(X280:X286)</f>
        <v>30286.719996053474</v>
      </c>
      <c r="Z287" s="153"/>
      <c r="AA287" s="150"/>
      <c r="AB287" s="261" t="s">
        <v>53</v>
      </c>
      <c r="AC287" s="261"/>
      <c r="AD287" s="190">
        <f>SUM(AD280:AD286)</f>
        <v>30185.515120907021</v>
      </c>
      <c r="AF287" s="153"/>
      <c r="AG287" s="150"/>
      <c r="AH287" s="261" t="s">
        <v>53</v>
      </c>
      <c r="AI287" s="261"/>
      <c r="AJ287" s="190">
        <f>SUM(AJ280:AJ286)</f>
        <v>29837.921543099688</v>
      </c>
    </row>
    <row r="288" spans="2:36" x14ac:dyDescent="0.45">
      <c r="B288" s="153"/>
      <c r="C288" s="153"/>
      <c r="D288" s="256" t="s">
        <v>116</v>
      </c>
      <c r="E288" s="256"/>
      <c r="F288" s="147">
        <v>32000</v>
      </c>
      <c r="H288" s="153"/>
      <c r="I288" s="153"/>
      <c r="J288" s="256" t="s">
        <v>116</v>
      </c>
      <c r="K288" s="256"/>
      <c r="L288" s="147">
        <v>32000</v>
      </c>
      <c r="N288" s="153"/>
      <c r="O288" s="153"/>
      <c r="P288" s="256" t="s">
        <v>116</v>
      </c>
      <c r="Q288" s="256"/>
      <c r="R288" s="147">
        <v>32000</v>
      </c>
      <c r="T288" s="153"/>
      <c r="U288" s="153"/>
      <c r="V288" s="256" t="s">
        <v>116</v>
      </c>
      <c r="W288" s="256"/>
      <c r="X288" s="147">
        <v>49000</v>
      </c>
      <c r="Z288" s="153"/>
      <c r="AA288" s="153"/>
      <c r="AB288" s="256" t="s">
        <v>116</v>
      </c>
      <c r="AC288" s="256"/>
      <c r="AD288" s="147">
        <v>49000</v>
      </c>
      <c r="AF288" s="153"/>
      <c r="AG288" s="153"/>
      <c r="AH288" s="256" t="s">
        <v>116</v>
      </c>
      <c r="AI288" s="256"/>
      <c r="AJ288" s="147">
        <v>49000</v>
      </c>
    </row>
    <row r="289" spans="2:36" x14ac:dyDescent="0.45">
      <c r="B289" s="153"/>
      <c r="C289" s="153"/>
      <c r="D289" s="256" t="s">
        <v>119</v>
      </c>
      <c r="E289" s="256"/>
      <c r="F289" s="148">
        <f>F288-F287</f>
        <v>12221.538203462689</v>
      </c>
      <c r="H289" s="153"/>
      <c r="I289" s="153"/>
      <c r="J289" s="256" t="s">
        <v>119</v>
      </c>
      <c r="K289" s="256"/>
      <c r="L289" s="148">
        <f>L288-L287</f>
        <v>12322.743078609146</v>
      </c>
      <c r="N289" s="153"/>
      <c r="O289" s="153"/>
      <c r="P289" s="256" t="s">
        <v>119</v>
      </c>
      <c r="Q289" s="256"/>
      <c r="R289" s="148">
        <f>R288-R287</f>
        <v>12670.336656416479</v>
      </c>
      <c r="T289" s="153"/>
      <c r="U289" s="153"/>
      <c r="V289" s="256" t="s">
        <v>119</v>
      </c>
      <c r="W289" s="256"/>
      <c r="X289" s="148">
        <f>X288-X287</f>
        <v>18713.280003946526</v>
      </c>
      <c r="Z289" s="153"/>
      <c r="AA289" s="153"/>
      <c r="AB289" s="256" t="s">
        <v>119</v>
      </c>
      <c r="AC289" s="256"/>
      <c r="AD289" s="148">
        <f>AD288-AD287</f>
        <v>18814.484879092979</v>
      </c>
      <c r="AF289" s="153"/>
      <c r="AG289" s="153"/>
      <c r="AH289" s="256" t="s">
        <v>119</v>
      </c>
      <c r="AI289" s="256"/>
      <c r="AJ289" s="148">
        <f>AJ288-AJ287</f>
        <v>19162.078456900312</v>
      </c>
    </row>
    <row r="291" spans="2:36" ht="14.65" thickBot="1" x14ac:dyDescent="0.5">
      <c r="B291" s="2" t="s">
        <v>257</v>
      </c>
      <c r="H291" s="2" t="s">
        <v>261</v>
      </c>
      <c r="T291" s="2" t="s">
        <v>257</v>
      </c>
      <c r="Z291" s="2" t="s">
        <v>261</v>
      </c>
    </row>
    <row r="292" spans="2:36" x14ac:dyDescent="0.45">
      <c r="B292" s="119" t="s">
        <v>0</v>
      </c>
      <c r="C292" s="119" t="s">
        <v>49</v>
      </c>
      <c r="D292" s="119" t="s">
        <v>34</v>
      </c>
      <c r="E292" s="119" t="s">
        <v>50</v>
      </c>
      <c r="F292" s="119" t="s">
        <v>36</v>
      </c>
      <c r="H292" s="119" t="s">
        <v>0</v>
      </c>
      <c r="I292" s="119" t="s">
        <v>49</v>
      </c>
      <c r="J292" s="119" t="s">
        <v>34</v>
      </c>
      <c r="K292" s="119" t="s">
        <v>50</v>
      </c>
      <c r="L292" s="119" t="s">
        <v>36</v>
      </c>
      <c r="T292" s="119" t="s">
        <v>0</v>
      </c>
      <c r="U292" s="119" t="s">
        <v>49</v>
      </c>
      <c r="V292" s="119" t="s">
        <v>34</v>
      </c>
      <c r="W292" s="119" t="s">
        <v>50</v>
      </c>
      <c r="X292" s="119" t="s">
        <v>36</v>
      </c>
      <c r="Z292" s="119" t="s">
        <v>0</v>
      </c>
      <c r="AA292" s="119" t="s">
        <v>49</v>
      </c>
      <c r="AB292" s="119" t="s">
        <v>34</v>
      </c>
      <c r="AC292" s="119" t="s">
        <v>50</v>
      </c>
      <c r="AD292" s="119" t="s">
        <v>36</v>
      </c>
    </row>
    <row r="293" spans="2:36" x14ac:dyDescent="0.45">
      <c r="B293" s="141">
        <v>1</v>
      </c>
      <c r="C293" s="142" t="s">
        <v>112</v>
      </c>
      <c r="D293" s="141">
        <v>1</v>
      </c>
      <c r="E293" s="141" t="s">
        <v>6</v>
      </c>
      <c r="F293" s="143">
        <f>D293*'Daftar HPP'!$L$57</f>
        <v>4875.7315789473687</v>
      </c>
      <c r="H293" s="141">
        <v>1</v>
      </c>
      <c r="I293" s="142" t="s">
        <v>112</v>
      </c>
      <c r="J293" s="141">
        <v>1</v>
      </c>
      <c r="K293" s="141" t="s">
        <v>6</v>
      </c>
      <c r="L293" s="143">
        <f>J293*'Daftar HPP'!$L$57</f>
        <v>4875.7315789473687</v>
      </c>
      <c r="T293" s="141">
        <v>1</v>
      </c>
      <c r="U293" s="142" t="s">
        <v>112</v>
      </c>
      <c r="V293" s="141">
        <v>2</v>
      </c>
      <c r="W293" s="141" t="s">
        <v>6</v>
      </c>
      <c r="X293" s="143">
        <f>V293*'Daftar HPP'!$L$57</f>
        <v>9751.4631578947374</v>
      </c>
      <c r="Z293" s="141">
        <v>1</v>
      </c>
      <c r="AA293" s="142" t="s">
        <v>112</v>
      </c>
      <c r="AB293" s="141">
        <v>2</v>
      </c>
      <c r="AC293" s="141" t="s">
        <v>6</v>
      </c>
      <c r="AD293" s="143">
        <f>AB293*'Daftar HPP'!$L$57</f>
        <v>9751.4631578947374</v>
      </c>
    </row>
    <row r="294" spans="2:36" x14ac:dyDescent="0.45">
      <c r="B294" s="141">
        <v>2</v>
      </c>
      <c r="C294" s="142" t="s">
        <v>17</v>
      </c>
      <c r="D294" s="141">
        <v>50</v>
      </c>
      <c r="E294" s="141" t="s">
        <v>8</v>
      </c>
      <c r="F294" s="143">
        <f>D294*'Daftar HPP'!$L$122</f>
        <v>1802.6315789473686</v>
      </c>
      <c r="H294" s="141">
        <v>2</v>
      </c>
      <c r="I294" s="142" t="s">
        <v>17</v>
      </c>
      <c r="J294" s="141">
        <v>50</v>
      </c>
      <c r="K294" s="141" t="s">
        <v>8</v>
      </c>
      <c r="L294" s="143">
        <f>J294*'Daftar HPP'!$L$122</f>
        <v>1802.6315789473686</v>
      </c>
      <c r="T294" s="141">
        <v>2</v>
      </c>
      <c r="U294" s="142" t="s">
        <v>17</v>
      </c>
      <c r="V294" s="141">
        <v>100</v>
      </c>
      <c r="W294" s="141" t="s">
        <v>8</v>
      </c>
      <c r="X294" s="143">
        <f>V294*'Daftar HPP'!$L$122</f>
        <v>3605.2631578947371</v>
      </c>
      <c r="Z294" s="141">
        <v>2</v>
      </c>
      <c r="AA294" s="142" t="s">
        <v>17</v>
      </c>
      <c r="AB294" s="141">
        <v>100</v>
      </c>
      <c r="AC294" s="141" t="s">
        <v>8</v>
      </c>
      <c r="AD294" s="143">
        <f>AB294*'Daftar HPP'!$L$122</f>
        <v>3605.2631578947371</v>
      </c>
    </row>
    <row r="295" spans="2:36" x14ac:dyDescent="0.45">
      <c r="B295" s="141">
        <v>3</v>
      </c>
      <c r="C295" s="142" t="s">
        <v>254</v>
      </c>
      <c r="D295" s="141">
        <v>1</v>
      </c>
      <c r="E295" s="141" t="s">
        <v>118</v>
      </c>
      <c r="F295" s="143">
        <f>D295*'Daftar HPP'!$F$105</f>
        <v>7659.7900832428531</v>
      </c>
      <c r="H295" s="141">
        <v>3</v>
      </c>
      <c r="I295" s="142" t="s">
        <v>254</v>
      </c>
      <c r="J295" s="141">
        <v>1</v>
      </c>
      <c r="K295" s="141" t="s">
        <v>118</v>
      </c>
      <c r="L295" s="143">
        <f>J295*'Daftar HPP'!$F$105</f>
        <v>7659.7900832428531</v>
      </c>
      <c r="T295" s="141">
        <v>3</v>
      </c>
      <c r="U295" s="142" t="s">
        <v>269</v>
      </c>
      <c r="V295" s="141">
        <v>1</v>
      </c>
      <c r="W295" s="141" t="s">
        <v>118</v>
      </c>
      <c r="X295" s="143">
        <f>V295*'Daftar HPP'!$L$96</f>
        <v>11489.68512486428</v>
      </c>
      <c r="Z295" s="141">
        <v>3</v>
      </c>
      <c r="AA295" s="142" t="s">
        <v>269</v>
      </c>
      <c r="AB295" s="141">
        <v>1</v>
      </c>
      <c r="AC295" s="141" t="s">
        <v>118</v>
      </c>
      <c r="AD295" s="143">
        <f>AB295*'Daftar HPP'!$L$96</f>
        <v>11489.68512486428</v>
      </c>
    </row>
    <row r="296" spans="2:36" x14ac:dyDescent="0.45">
      <c r="B296" s="141">
        <v>4</v>
      </c>
      <c r="C296" s="142" t="s">
        <v>17</v>
      </c>
      <c r="D296" s="141">
        <v>30</v>
      </c>
      <c r="E296" s="141" t="s">
        <v>8</v>
      </c>
      <c r="F296" s="144">
        <f>D296*'Daftar HPP'!$F$152</f>
        <v>2093.9588100686497</v>
      </c>
      <c r="H296" s="141">
        <v>4</v>
      </c>
      <c r="I296" s="142" t="s">
        <v>25</v>
      </c>
      <c r="J296" s="141">
        <v>30</v>
      </c>
      <c r="K296" s="141" t="s">
        <v>8</v>
      </c>
      <c r="L296" s="144">
        <f>J296*'Daftar HPP'!$G$22</f>
        <v>1995</v>
      </c>
      <c r="T296" s="141">
        <v>4</v>
      </c>
      <c r="U296" s="142" t="s">
        <v>17</v>
      </c>
      <c r="V296" s="141">
        <v>30</v>
      </c>
      <c r="W296" s="141" t="s">
        <v>8</v>
      </c>
      <c r="X296" s="144">
        <f>V296*'Daftar HPP'!$F$152</f>
        <v>2093.9588100686497</v>
      </c>
      <c r="Z296" s="141">
        <v>4</v>
      </c>
      <c r="AA296" s="142" t="s">
        <v>25</v>
      </c>
      <c r="AB296" s="141">
        <v>30</v>
      </c>
      <c r="AC296" s="141" t="s">
        <v>8</v>
      </c>
      <c r="AD296" s="144">
        <f>AB296*'Daftar HPP'!$G$22</f>
        <v>1995</v>
      </c>
    </row>
    <row r="297" spans="2:36" x14ac:dyDescent="0.45">
      <c r="B297" s="141">
        <v>5</v>
      </c>
      <c r="C297" s="142" t="s">
        <v>107</v>
      </c>
      <c r="D297" s="141">
        <v>30</v>
      </c>
      <c r="E297" s="141" t="s">
        <v>8</v>
      </c>
      <c r="F297" s="144">
        <f>D297*'Daftar HPP'!$L$152</f>
        <v>2144.1036802532649</v>
      </c>
      <c r="H297" s="141">
        <v>5</v>
      </c>
      <c r="I297" s="142" t="s">
        <v>26</v>
      </c>
      <c r="J297" s="141">
        <v>30</v>
      </c>
      <c r="K297" s="141" t="s">
        <v>8</v>
      </c>
      <c r="L297" s="144">
        <f>J297*'Daftar HPP'!$L$143</f>
        <v>1647.4064221926658</v>
      </c>
      <c r="T297" s="141">
        <v>5</v>
      </c>
      <c r="U297" s="142" t="s">
        <v>107</v>
      </c>
      <c r="V297" s="141">
        <v>30</v>
      </c>
      <c r="W297" s="141" t="s">
        <v>8</v>
      </c>
      <c r="X297" s="144">
        <f>V297*'Daftar HPP'!$L$152</f>
        <v>2144.1036802532649</v>
      </c>
      <c r="Z297" s="141">
        <v>5</v>
      </c>
      <c r="AA297" s="142" t="s">
        <v>26</v>
      </c>
      <c r="AB297" s="141">
        <v>30</v>
      </c>
      <c r="AC297" s="141" t="s">
        <v>8</v>
      </c>
      <c r="AD297" s="144">
        <f>AB297*'Daftar HPP'!$L$143</f>
        <v>1647.4064221926658</v>
      </c>
    </row>
    <row r="298" spans="2:36" x14ac:dyDescent="0.45">
      <c r="B298" s="141">
        <v>6</v>
      </c>
      <c r="C298" s="142" t="s">
        <v>270</v>
      </c>
      <c r="D298" s="141">
        <v>1</v>
      </c>
      <c r="E298" s="141" t="s">
        <v>8</v>
      </c>
      <c r="F298" s="144">
        <f>D298*'Daftar HPP'!$G$33</f>
        <v>100</v>
      </c>
      <c r="H298" s="141">
        <v>6</v>
      </c>
      <c r="I298" s="142" t="s">
        <v>270</v>
      </c>
      <c r="J298" s="141">
        <v>1</v>
      </c>
      <c r="K298" s="141" t="s">
        <v>8</v>
      </c>
      <c r="L298" s="144">
        <f>J298*'Daftar HPP'!$G$33</f>
        <v>100</v>
      </c>
      <c r="T298" s="141">
        <v>6</v>
      </c>
      <c r="U298" s="142" t="s">
        <v>270</v>
      </c>
      <c r="V298" s="141">
        <v>1</v>
      </c>
      <c r="W298" s="141" t="s">
        <v>8</v>
      </c>
      <c r="X298" s="144">
        <f>V298*'Daftar HPP'!$G$33</f>
        <v>100</v>
      </c>
      <c r="Z298" s="141">
        <v>6</v>
      </c>
      <c r="AA298" s="142" t="s">
        <v>270</v>
      </c>
      <c r="AB298" s="141">
        <v>1</v>
      </c>
      <c r="AC298" s="141" t="s">
        <v>8</v>
      </c>
      <c r="AD298" s="144">
        <f>AB298*'Daftar HPP'!$G$33</f>
        <v>100</v>
      </c>
    </row>
    <row r="299" spans="2:36" x14ac:dyDescent="0.45">
      <c r="B299" s="141">
        <v>7</v>
      </c>
      <c r="C299" s="142" t="s">
        <v>251</v>
      </c>
      <c r="D299" s="141">
        <v>1</v>
      </c>
      <c r="E299" s="141" t="s">
        <v>28</v>
      </c>
      <c r="F299" s="144">
        <f>D299*'Daftar HPP'!$G$39</f>
        <v>1100</v>
      </c>
      <c r="H299" s="141">
        <v>7</v>
      </c>
      <c r="I299" s="142" t="s">
        <v>251</v>
      </c>
      <c r="J299" s="141">
        <v>1</v>
      </c>
      <c r="K299" s="141" t="s">
        <v>28</v>
      </c>
      <c r="L299" s="144">
        <f>J299*'Daftar HPP'!$G$39</f>
        <v>1100</v>
      </c>
      <c r="T299" s="141">
        <v>7</v>
      </c>
      <c r="U299" s="142" t="s">
        <v>251</v>
      </c>
      <c r="V299" s="141">
        <v>1</v>
      </c>
      <c r="W299" s="141" t="s">
        <v>28</v>
      </c>
      <c r="X299" s="144">
        <f>V299*'Daftar HPP'!$G$39</f>
        <v>1100</v>
      </c>
      <c r="Z299" s="141">
        <v>7</v>
      </c>
      <c r="AA299" s="142" t="s">
        <v>251</v>
      </c>
      <c r="AB299" s="141">
        <v>1</v>
      </c>
      <c r="AC299" s="141" t="s">
        <v>28</v>
      </c>
      <c r="AD299" s="144">
        <f>AB299*'Daftar HPP'!$G$39</f>
        <v>1100</v>
      </c>
    </row>
    <row r="300" spans="2:36" x14ac:dyDescent="0.45">
      <c r="B300" s="153"/>
      <c r="C300" s="150"/>
      <c r="D300" s="261" t="s">
        <v>53</v>
      </c>
      <c r="E300" s="261"/>
      <c r="F300" s="190">
        <f>SUM(F293:F299)</f>
        <v>19776.215731459506</v>
      </c>
      <c r="H300" s="153"/>
      <c r="I300" s="150"/>
      <c r="J300" s="257" t="s">
        <v>53</v>
      </c>
      <c r="K300" s="258"/>
      <c r="L300" s="190">
        <f>SUM(L293:L299)</f>
        <v>19180.559663330256</v>
      </c>
      <c r="T300" s="153"/>
      <c r="U300" s="150"/>
      <c r="V300" s="261" t="s">
        <v>53</v>
      </c>
      <c r="W300" s="261"/>
      <c r="X300" s="190">
        <f>SUM(X293:X299)</f>
        <v>30284.47393097567</v>
      </c>
      <c r="Z300" s="153"/>
      <c r="AA300" s="150"/>
      <c r="AB300" s="257" t="s">
        <v>53</v>
      </c>
      <c r="AC300" s="258"/>
      <c r="AD300" s="190">
        <f>SUM(AD293:AD299)</f>
        <v>29688.817862846423</v>
      </c>
    </row>
    <row r="301" spans="2:36" x14ac:dyDescent="0.45">
      <c r="B301" s="153"/>
      <c r="C301" s="153"/>
      <c r="D301" s="256" t="s">
        <v>116</v>
      </c>
      <c r="E301" s="256"/>
      <c r="F301" s="147">
        <v>32000</v>
      </c>
      <c r="H301" s="153"/>
      <c r="I301" s="153"/>
      <c r="J301" s="251" t="s">
        <v>116</v>
      </c>
      <c r="K301" s="252"/>
      <c r="L301" s="147">
        <v>32000</v>
      </c>
      <c r="T301" s="153"/>
      <c r="U301" s="153"/>
      <c r="V301" s="256" t="s">
        <v>116</v>
      </c>
      <c r="W301" s="256"/>
      <c r="X301" s="147">
        <v>49000</v>
      </c>
      <c r="Z301" s="153"/>
      <c r="AA301" s="153"/>
      <c r="AB301" s="251" t="s">
        <v>116</v>
      </c>
      <c r="AC301" s="252"/>
      <c r="AD301" s="147">
        <v>49000</v>
      </c>
    </row>
    <row r="302" spans="2:36" x14ac:dyDescent="0.45">
      <c r="B302" s="153"/>
      <c r="C302" s="153"/>
      <c r="D302" s="256" t="s">
        <v>119</v>
      </c>
      <c r="E302" s="256"/>
      <c r="F302" s="148">
        <f>F301-F300</f>
        <v>12223.784268540494</v>
      </c>
      <c r="H302" s="153"/>
      <c r="I302" s="153"/>
      <c r="J302" s="256" t="s">
        <v>119</v>
      </c>
      <c r="K302" s="256"/>
      <c r="L302" s="148">
        <f>L301-L300</f>
        <v>12819.440336669744</v>
      </c>
      <c r="T302" s="153"/>
      <c r="U302" s="153"/>
      <c r="V302" s="256" t="s">
        <v>119</v>
      </c>
      <c r="W302" s="256"/>
      <c r="X302" s="148">
        <f>X301-X300</f>
        <v>18715.52606902433</v>
      </c>
      <c r="Z302" s="153"/>
      <c r="AA302" s="153"/>
      <c r="AB302" s="256" t="s">
        <v>119</v>
      </c>
      <c r="AC302" s="256"/>
      <c r="AD302" s="148">
        <f>AD301-AD300</f>
        <v>19311.182137153577</v>
      </c>
    </row>
    <row r="304" spans="2:36" ht="14.65" thickBot="1" x14ac:dyDescent="0.5">
      <c r="B304" s="2" t="s">
        <v>258</v>
      </c>
      <c r="H304" s="2" t="s">
        <v>262</v>
      </c>
      <c r="T304" s="2" t="s">
        <v>258</v>
      </c>
      <c r="Z304" s="2" t="s">
        <v>262</v>
      </c>
    </row>
    <row r="305" spans="2:30" x14ac:dyDescent="0.45">
      <c r="B305" s="119" t="s">
        <v>0</v>
      </c>
      <c r="C305" s="119" t="s">
        <v>49</v>
      </c>
      <c r="D305" s="119" t="s">
        <v>34</v>
      </c>
      <c r="E305" s="119" t="s">
        <v>50</v>
      </c>
      <c r="F305" s="119" t="s">
        <v>36</v>
      </c>
      <c r="H305" s="119" t="s">
        <v>0</v>
      </c>
      <c r="I305" s="119" t="s">
        <v>49</v>
      </c>
      <c r="J305" s="119" t="s">
        <v>34</v>
      </c>
      <c r="K305" s="119" t="s">
        <v>50</v>
      </c>
      <c r="L305" s="119" t="s">
        <v>36</v>
      </c>
      <c r="T305" s="119" t="s">
        <v>0</v>
      </c>
      <c r="U305" s="119" t="s">
        <v>49</v>
      </c>
      <c r="V305" s="119" t="s">
        <v>34</v>
      </c>
      <c r="W305" s="119" t="s">
        <v>50</v>
      </c>
      <c r="X305" s="119" t="s">
        <v>36</v>
      </c>
      <c r="Z305" s="119" t="s">
        <v>0</v>
      </c>
      <c r="AA305" s="119" t="s">
        <v>49</v>
      </c>
      <c r="AB305" s="119" t="s">
        <v>34</v>
      </c>
      <c r="AC305" s="119" t="s">
        <v>50</v>
      </c>
      <c r="AD305" s="119" t="s">
        <v>36</v>
      </c>
    </row>
    <row r="306" spans="2:30" x14ac:dyDescent="0.45">
      <c r="B306" s="141">
        <v>1</v>
      </c>
      <c r="C306" s="142" t="s">
        <v>112</v>
      </c>
      <c r="D306" s="141">
        <v>1</v>
      </c>
      <c r="E306" s="141" t="s">
        <v>6</v>
      </c>
      <c r="F306" s="143">
        <f>D306*'Daftar HPP'!$L$57</f>
        <v>4875.7315789473687</v>
      </c>
      <c r="H306" s="141">
        <v>1</v>
      </c>
      <c r="I306" s="142" t="s">
        <v>112</v>
      </c>
      <c r="J306" s="141">
        <v>1</v>
      </c>
      <c r="K306" s="141" t="s">
        <v>6</v>
      </c>
      <c r="L306" s="143">
        <f>J306*'Daftar HPP'!$L$57</f>
        <v>4875.7315789473687</v>
      </c>
      <c r="T306" s="141">
        <v>1</v>
      </c>
      <c r="U306" s="142" t="s">
        <v>112</v>
      </c>
      <c r="V306" s="141">
        <v>2</v>
      </c>
      <c r="W306" s="141" t="s">
        <v>6</v>
      </c>
      <c r="X306" s="143">
        <f>V306*'Daftar HPP'!$L$57</f>
        <v>9751.4631578947374</v>
      </c>
      <c r="Z306" s="141">
        <v>1</v>
      </c>
      <c r="AA306" s="142" t="s">
        <v>112</v>
      </c>
      <c r="AB306" s="141">
        <v>2</v>
      </c>
      <c r="AC306" s="141" t="s">
        <v>6</v>
      </c>
      <c r="AD306" s="143">
        <f>AB306*'Daftar HPP'!$L$57</f>
        <v>9751.4631578947374</v>
      </c>
    </row>
    <row r="307" spans="2:30" x14ac:dyDescent="0.45">
      <c r="B307" s="141">
        <v>2</v>
      </c>
      <c r="C307" s="142" t="s">
        <v>17</v>
      </c>
      <c r="D307" s="141">
        <v>50</v>
      </c>
      <c r="E307" s="141" t="s">
        <v>8</v>
      </c>
      <c r="F307" s="143">
        <f>D307*'Daftar HPP'!$L$122</f>
        <v>1802.6315789473686</v>
      </c>
      <c r="H307" s="141">
        <v>2</v>
      </c>
      <c r="I307" s="142" t="s">
        <v>17</v>
      </c>
      <c r="J307" s="141">
        <v>50</v>
      </c>
      <c r="K307" s="141" t="s">
        <v>8</v>
      </c>
      <c r="L307" s="143">
        <f>J307*'Daftar HPP'!$L$122</f>
        <v>1802.6315789473686</v>
      </c>
      <c r="T307" s="141">
        <v>2</v>
      </c>
      <c r="U307" s="142" t="s">
        <v>17</v>
      </c>
      <c r="V307" s="141">
        <v>100</v>
      </c>
      <c r="W307" s="141" t="s">
        <v>8</v>
      </c>
      <c r="X307" s="143">
        <f>V307*'Daftar HPP'!$L$122</f>
        <v>3605.2631578947371</v>
      </c>
      <c r="Z307" s="141">
        <v>2</v>
      </c>
      <c r="AA307" s="142" t="s">
        <v>17</v>
      </c>
      <c r="AB307" s="141">
        <v>100</v>
      </c>
      <c r="AC307" s="141" t="s">
        <v>8</v>
      </c>
      <c r="AD307" s="143">
        <f>AB307*'Daftar HPP'!$L$122</f>
        <v>3605.2631578947371</v>
      </c>
    </row>
    <row r="308" spans="2:30" x14ac:dyDescent="0.45">
      <c r="B308" s="141">
        <v>3</v>
      </c>
      <c r="C308" s="142" t="s">
        <v>254</v>
      </c>
      <c r="D308" s="141">
        <v>1</v>
      </c>
      <c r="E308" s="141" t="s">
        <v>118</v>
      </c>
      <c r="F308" s="143">
        <f>D308*'Daftar HPP'!$F$105</f>
        <v>7659.7900832428531</v>
      </c>
      <c r="H308" s="141">
        <v>3</v>
      </c>
      <c r="I308" s="142" t="s">
        <v>254</v>
      </c>
      <c r="J308" s="141">
        <v>1</v>
      </c>
      <c r="K308" s="141" t="s">
        <v>118</v>
      </c>
      <c r="L308" s="143">
        <f>J308*'Daftar HPP'!$F$105</f>
        <v>7659.7900832428531</v>
      </c>
      <c r="T308" s="141">
        <v>3</v>
      </c>
      <c r="U308" s="142" t="s">
        <v>269</v>
      </c>
      <c r="V308" s="141">
        <v>1</v>
      </c>
      <c r="W308" s="141" t="s">
        <v>118</v>
      </c>
      <c r="X308" s="143">
        <f>V308*'Daftar HPP'!$L$96</f>
        <v>11489.68512486428</v>
      </c>
      <c r="Z308" s="141">
        <v>3</v>
      </c>
      <c r="AA308" s="142" t="s">
        <v>269</v>
      </c>
      <c r="AB308" s="141">
        <v>1</v>
      </c>
      <c r="AC308" s="141" t="s">
        <v>118</v>
      </c>
      <c r="AD308" s="143">
        <f>AB308*'Daftar HPP'!$L$96</f>
        <v>11489.68512486428</v>
      </c>
    </row>
    <row r="309" spans="2:30" x14ac:dyDescent="0.45">
      <c r="B309" s="141">
        <v>4</v>
      </c>
      <c r="C309" s="142" t="s">
        <v>17</v>
      </c>
      <c r="D309" s="141">
        <v>30</v>
      </c>
      <c r="E309" s="141" t="s">
        <v>8</v>
      </c>
      <c r="F309" s="144">
        <f>D309*'Daftar HPP'!$F$152</f>
        <v>2093.9588100686497</v>
      </c>
      <c r="H309" s="141">
        <v>4</v>
      </c>
      <c r="I309" s="142" t="s">
        <v>107</v>
      </c>
      <c r="J309" s="141">
        <v>30</v>
      </c>
      <c r="K309" s="141" t="s">
        <v>8</v>
      </c>
      <c r="L309" s="144">
        <f>J309*'Daftar HPP'!$L$152</f>
        <v>2144.1036802532649</v>
      </c>
      <c r="T309" s="141">
        <v>4</v>
      </c>
      <c r="U309" s="142" t="s">
        <v>17</v>
      </c>
      <c r="V309" s="141">
        <v>30</v>
      </c>
      <c r="W309" s="141" t="s">
        <v>8</v>
      </c>
      <c r="X309" s="144">
        <f>V309*'Daftar HPP'!$F$152</f>
        <v>2093.9588100686497</v>
      </c>
      <c r="Z309" s="141">
        <v>4</v>
      </c>
      <c r="AA309" s="142" t="s">
        <v>107</v>
      </c>
      <c r="AB309" s="141">
        <v>30</v>
      </c>
      <c r="AC309" s="141" t="s">
        <v>8</v>
      </c>
      <c r="AD309" s="144">
        <f>AB309*'Daftar HPP'!$L$152</f>
        <v>2144.1036802532649</v>
      </c>
    </row>
    <row r="310" spans="2:30" x14ac:dyDescent="0.45">
      <c r="B310" s="141">
        <v>5</v>
      </c>
      <c r="C310" s="142" t="s">
        <v>26</v>
      </c>
      <c r="D310" s="141">
        <v>30</v>
      </c>
      <c r="E310" s="141" t="s">
        <v>8</v>
      </c>
      <c r="F310" s="144">
        <f>D310*'Daftar HPP'!$L$143</f>
        <v>1647.4064221926658</v>
      </c>
      <c r="H310" s="141">
        <v>5</v>
      </c>
      <c r="I310" s="142" t="s">
        <v>105</v>
      </c>
      <c r="J310" s="141">
        <v>30</v>
      </c>
      <c r="K310" s="141" t="s">
        <v>8</v>
      </c>
      <c r="L310" s="144">
        <f>J310*'Daftar HPP'!$F$143</f>
        <v>2146.3497453310692</v>
      </c>
      <c r="T310" s="141">
        <v>5</v>
      </c>
      <c r="U310" s="142" t="s">
        <v>26</v>
      </c>
      <c r="V310" s="141">
        <v>30</v>
      </c>
      <c r="W310" s="141" t="s">
        <v>8</v>
      </c>
      <c r="X310" s="144">
        <f>V310*'Daftar HPP'!$L$143</f>
        <v>1647.4064221926658</v>
      </c>
      <c r="Z310" s="141">
        <v>5</v>
      </c>
      <c r="AA310" s="142" t="s">
        <v>105</v>
      </c>
      <c r="AB310" s="141">
        <v>30</v>
      </c>
      <c r="AC310" s="141" t="s">
        <v>8</v>
      </c>
      <c r="AD310" s="144">
        <f>AB310*'Daftar HPP'!$F$143</f>
        <v>2146.3497453310692</v>
      </c>
    </row>
    <row r="311" spans="2:30" x14ac:dyDescent="0.45">
      <c r="B311" s="141">
        <v>6</v>
      </c>
      <c r="C311" s="142" t="s">
        <v>270</v>
      </c>
      <c r="D311" s="141">
        <v>1</v>
      </c>
      <c r="E311" s="141" t="s">
        <v>8</v>
      </c>
      <c r="F311" s="144">
        <f>D311*'Daftar HPP'!$G$33</f>
        <v>100</v>
      </c>
      <c r="H311" s="141">
        <v>6</v>
      </c>
      <c r="I311" s="142" t="s">
        <v>270</v>
      </c>
      <c r="J311" s="141">
        <v>1</v>
      </c>
      <c r="K311" s="141" t="s">
        <v>8</v>
      </c>
      <c r="L311" s="144">
        <f>J311*'Daftar HPP'!$G$33</f>
        <v>100</v>
      </c>
      <c r="T311" s="141">
        <v>6</v>
      </c>
      <c r="U311" s="142" t="s">
        <v>270</v>
      </c>
      <c r="V311" s="141">
        <v>1</v>
      </c>
      <c r="W311" s="141" t="s">
        <v>8</v>
      </c>
      <c r="X311" s="144">
        <f>V311*'Daftar HPP'!$G$33</f>
        <v>100</v>
      </c>
      <c r="Z311" s="141">
        <v>6</v>
      </c>
      <c r="AA311" s="142" t="s">
        <v>270</v>
      </c>
      <c r="AB311" s="141">
        <v>1</v>
      </c>
      <c r="AC311" s="141" t="s">
        <v>8</v>
      </c>
      <c r="AD311" s="144">
        <f>AB311*'Daftar HPP'!$G$33</f>
        <v>100</v>
      </c>
    </row>
    <row r="312" spans="2:30" x14ac:dyDescent="0.45">
      <c r="B312" s="141">
        <v>7</v>
      </c>
      <c r="C312" s="142" t="s">
        <v>251</v>
      </c>
      <c r="D312" s="141">
        <v>1</v>
      </c>
      <c r="E312" s="141" t="s">
        <v>28</v>
      </c>
      <c r="F312" s="144">
        <f>D312*'Daftar HPP'!$G$39</f>
        <v>1100</v>
      </c>
      <c r="H312" s="141">
        <v>7</v>
      </c>
      <c r="I312" s="142" t="s">
        <v>251</v>
      </c>
      <c r="J312" s="141">
        <v>1</v>
      </c>
      <c r="K312" s="141" t="s">
        <v>28</v>
      </c>
      <c r="L312" s="144">
        <f>J312*'Daftar HPP'!$G$39</f>
        <v>1100</v>
      </c>
      <c r="T312" s="141">
        <v>7</v>
      </c>
      <c r="U312" s="142" t="s">
        <v>251</v>
      </c>
      <c r="V312" s="141">
        <v>1</v>
      </c>
      <c r="W312" s="141" t="s">
        <v>28</v>
      </c>
      <c r="X312" s="144">
        <f>V312*'Daftar HPP'!$G$39</f>
        <v>1100</v>
      </c>
      <c r="Z312" s="141">
        <v>7</v>
      </c>
      <c r="AA312" s="142" t="s">
        <v>251</v>
      </c>
      <c r="AB312" s="141">
        <v>1</v>
      </c>
      <c r="AC312" s="141" t="s">
        <v>28</v>
      </c>
      <c r="AD312" s="144">
        <f>AB312*'Daftar HPP'!$G$39</f>
        <v>1100</v>
      </c>
    </row>
    <row r="313" spans="2:30" x14ac:dyDescent="0.45">
      <c r="B313" s="153"/>
      <c r="C313" s="150"/>
      <c r="D313" s="261" t="s">
        <v>53</v>
      </c>
      <c r="E313" s="261"/>
      <c r="F313" s="190">
        <f>SUM(F306:F312)</f>
        <v>19279.518473398908</v>
      </c>
      <c r="H313" s="153"/>
      <c r="I313" s="150"/>
      <c r="J313" s="261" t="s">
        <v>53</v>
      </c>
      <c r="K313" s="261"/>
      <c r="L313" s="190">
        <f>SUM(L306:L312)</f>
        <v>19828.606666721924</v>
      </c>
      <c r="T313" s="153"/>
      <c r="U313" s="150"/>
      <c r="V313" s="261" t="s">
        <v>53</v>
      </c>
      <c r="W313" s="261"/>
      <c r="X313" s="190">
        <f>SUM(X306:X312)</f>
        <v>29787.776672915072</v>
      </c>
      <c r="Z313" s="153"/>
      <c r="AA313" s="150"/>
      <c r="AB313" s="261" t="s">
        <v>53</v>
      </c>
      <c r="AC313" s="261"/>
      <c r="AD313" s="190">
        <f>SUM(AD306:AD312)</f>
        <v>30336.864866238091</v>
      </c>
    </row>
    <row r="314" spans="2:30" x14ac:dyDescent="0.45">
      <c r="B314" s="153"/>
      <c r="C314" s="153"/>
      <c r="D314" s="256" t="s">
        <v>116</v>
      </c>
      <c r="E314" s="256"/>
      <c r="F314" s="147">
        <v>32000</v>
      </c>
      <c r="H314" s="153"/>
      <c r="I314" s="153"/>
      <c r="J314" s="256" t="s">
        <v>116</v>
      </c>
      <c r="K314" s="256"/>
      <c r="L314" s="147">
        <v>32000</v>
      </c>
      <c r="T314" s="153"/>
      <c r="U314" s="153"/>
      <c r="V314" s="256" t="s">
        <v>116</v>
      </c>
      <c r="W314" s="256"/>
      <c r="X314" s="147">
        <v>49000</v>
      </c>
      <c r="Z314" s="153"/>
      <c r="AA314" s="153"/>
      <c r="AB314" s="256" t="s">
        <v>116</v>
      </c>
      <c r="AC314" s="256"/>
      <c r="AD314" s="147">
        <v>49000</v>
      </c>
    </row>
    <row r="315" spans="2:30" x14ac:dyDescent="0.45">
      <c r="B315" s="153"/>
      <c r="C315" s="153"/>
      <c r="D315" s="256" t="s">
        <v>119</v>
      </c>
      <c r="E315" s="256"/>
      <c r="F315" s="148">
        <f>F314-F313</f>
        <v>12720.481526601092</v>
      </c>
      <c r="H315" s="153"/>
      <c r="I315" s="153"/>
      <c r="J315" s="256" t="s">
        <v>119</v>
      </c>
      <c r="K315" s="256"/>
      <c r="L315" s="148">
        <f>L314-L313</f>
        <v>12171.393333278076</v>
      </c>
      <c r="T315" s="153"/>
      <c r="U315" s="153"/>
      <c r="V315" s="256" t="s">
        <v>119</v>
      </c>
      <c r="W315" s="256"/>
      <c r="X315" s="148">
        <f>X314-X313</f>
        <v>19212.223327084928</v>
      </c>
      <c r="Z315" s="153"/>
      <c r="AA315" s="153"/>
      <c r="AB315" s="256" t="s">
        <v>119</v>
      </c>
      <c r="AC315" s="256"/>
      <c r="AD315" s="148">
        <f>AD314-AD313</f>
        <v>18663.135133761909</v>
      </c>
    </row>
    <row r="317" spans="2:30" ht="15.4" x14ac:dyDescent="0.45">
      <c r="B317" s="259" t="s">
        <v>272</v>
      </c>
      <c r="C317" s="259"/>
      <c r="D317" s="259"/>
      <c r="E317" s="259"/>
      <c r="F317" s="259"/>
      <c r="G317" s="259"/>
      <c r="H317" s="259"/>
      <c r="I317" s="259"/>
      <c r="J317" s="259"/>
      <c r="K317" s="259"/>
      <c r="L317" s="259"/>
      <c r="M317" s="259"/>
      <c r="N317" s="259"/>
      <c r="O317" s="259"/>
      <c r="P317" s="259"/>
      <c r="Q317" s="259"/>
      <c r="R317" s="259"/>
    </row>
    <row r="318" spans="2:30" ht="14.65" thickBot="1" x14ac:dyDescent="0.5">
      <c r="B318" s="2" t="s">
        <v>253</v>
      </c>
      <c r="H318" s="2" t="s">
        <v>258</v>
      </c>
      <c r="N318" s="2" t="s">
        <v>261</v>
      </c>
    </row>
    <row r="319" spans="2:30" x14ac:dyDescent="0.45">
      <c r="B319" s="119" t="s">
        <v>0</v>
      </c>
      <c r="C319" s="119" t="s">
        <v>49</v>
      </c>
      <c r="D319" s="119" t="s">
        <v>34</v>
      </c>
      <c r="E319" s="119" t="s">
        <v>50</v>
      </c>
      <c r="F319" s="119" t="s">
        <v>36</v>
      </c>
      <c r="H319" s="119" t="s">
        <v>0</v>
      </c>
      <c r="I319" s="119" t="s">
        <v>49</v>
      </c>
      <c r="J319" s="119" t="s">
        <v>34</v>
      </c>
      <c r="K319" s="119" t="s">
        <v>50</v>
      </c>
      <c r="L319" s="119" t="s">
        <v>36</v>
      </c>
      <c r="N319" s="119" t="s">
        <v>0</v>
      </c>
      <c r="O319" s="119" t="s">
        <v>49</v>
      </c>
      <c r="P319" s="119" t="s">
        <v>34</v>
      </c>
      <c r="Q319" s="119" t="s">
        <v>50</v>
      </c>
      <c r="R319" s="119" t="s">
        <v>36</v>
      </c>
    </row>
    <row r="320" spans="2:30" x14ac:dyDescent="0.45">
      <c r="B320" s="141">
        <v>1</v>
      </c>
      <c r="C320" s="142" t="s">
        <v>273</v>
      </c>
      <c r="D320" s="141">
        <v>1</v>
      </c>
      <c r="E320" s="141" t="s">
        <v>15</v>
      </c>
      <c r="F320" s="143">
        <f>D320*'Daftar HPP'!$L$101</f>
        <v>15319.580166485706</v>
      </c>
      <c r="H320" s="141">
        <v>1</v>
      </c>
      <c r="I320" s="142" t="s">
        <v>273</v>
      </c>
      <c r="J320" s="141">
        <v>1</v>
      </c>
      <c r="K320" s="141" t="s">
        <v>15</v>
      </c>
      <c r="L320" s="143">
        <f>J320*'Daftar HPP'!$L$101</f>
        <v>15319.580166485706</v>
      </c>
      <c r="N320" s="141">
        <v>1</v>
      </c>
      <c r="O320" s="142" t="s">
        <v>273</v>
      </c>
      <c r="P320" s="141">
        <v>1</v>
      </c>
      <c r="Q320" s="141" t="s">
        <v>15</v>
      </c>
      <c r="R320" s="143">
        <f>P320*'Daftar HPP'!$L$101</f>
        <v>15319.580166485706</v>
      </c>
    </row>
    <row r="321" spans="2:18" x14ac:dyDescent="0.45">
      <c r="B321" s="141">
        <v>2</v>
      </c>
      <c r="C321" s="142" t="s">
        <v>17</v>
      </c>
      <c r="D321" s="141">
        <v>30</v>
      </c>
      <c r="E321" s="141" t="s">
        <v>8</v>
      </c>
      <c r="F321" s="144">
        <f>D321*'Daftar HPP'!$F$152</f>
        <v>2093.9588100686497</v>
      </c>
      <c r="H321" s="141">
        <v>2</v>
      </c>
      <c r="I321" s="142" t="s">
        <v>17</v>
      </c>
      <c r="J321" s="141">
        <v>30</v>
      </c>
      <c r="K321" s="141" t="s">
        <v>8</v>
      </c>
      <c r="L321" s="144">
        <f>J321*'Daftar HPP'!$F$152</f>
        <v>2093.9588100686497</v>
      </c>
      <c r="N321" s="141">
        <v>2</v>
      </c>
      <c r="O321" s="142" t="s">
        <v>25</v>
      </c>
      <c r="P321" s="141">
        <v>30</v>
      </c>
      <c r="Q321" s="141" t="s">
        <v>8</v>
      </c>
      <c r="R321" s="144">
        <f>P321*'Daftar HPP'!$G$22</f>
        <v>1995</v>
      </c>
    </row>
    <row r="322" spans="2:18" x14ac:dyDescent="0.45">
      <c r="B322" s="141">
        <v>3</v>
      </c>
      <c r="C322" s="142" t="s">
        <v>25</v>
      </c>
      <c r="D322" s="141">
        <v>30</v>
      </c>
      <c r="E322" s="141" t="s">
        <v>8</v>
      </c>
      <c r="F322" s="144">
        <f>D322*'Daftar HPP'!$G$22</f>
        <v>1995</v>
      </c>
      <c r="H322" s="141">
        <v>3</v>
      </c>
      <c r="I322" s="142" t="s">
        <v>26</v>
      </c>
      <c r="J322" s="141">
        <v>30</v>
      </c>
      <c r="K322" s="141" t="s">
        <v>8</v>
      </c>
      <c r="L322" s="144">
        <f>J322*'Daftar HPP'!$L$143</f>
        <v>1647.4064221926658</v>
      </c>
      <c r="N322" s="141">
        <v>3</v>
      </c>
      <c r="O322" s="142" t="s">
        <v>26</v>
      </c>
      <c r="P322" s="141">
        <v>30</v>
      </c>
      <c r="Q322" s="141" t="s">
        <v>8</v>
      </c>
      <c r="R322" s="144">
        <f>P322*'Daftar HPP'!$L$143</f>
        <v>1647.4064221926658</v>
      </c>
    </row>
    <row r="323" spans="2:18" x14ac:dyDescent="0.45">
      <c r="B323" s="141">
        <v>4</v>
      </c>
      <c r="C323" s="142" t="s">
        <v>270</v>
      </c>
      <c r="D323" s="141">
        <v>1</v>
      </c>
      <c r="E323" s="141" t="s">
        <v>8</v>
      </c>
      <c r="F323" s="144">
        <f>D323*'Daftar HPP'!$G$33</f>
        <v>100</v>
      </c>
      <c r="H323" s="141">
        <v>4</v>
      </c>
      <c r="I323" s="142" t="s">
        <v>270</v>
      </c>
      <c r="J323" s="141">
        <v>1</v>
      </c>
      <c r="K323" s="141" t="s">
        <v>8</v>
      </c>
      <c r="L323" s="144">
        <f>J323*'Daftar HPP'!$G$33</f>
        <v>100</v>
      </c>
      <c r="N323" s="141">
        <v>4</v>
      </c>
      <c r="O323" s="142" t="s">
        <v>270</v>
      </c>
      <c r="P323" s="141">
        <v>1</v>
      </c>
      <c r="Q323" s="141" t="s">
        <v>8</v>
      </c>
      <c r="R323" s="144">
        <f>P323*'Daftar HPP'!$G$33</f>
        <v>100</v>
      </c>
    </row>
    <row r="324" spans="2:18" x14ac:dyDescent="0.45">
      <c r="B324" s="141">
        <v>5</v>
      </c>
      <c r="C324" s="142" t="s">
        <v>251</v>
      </c>
      <c r="D324" s="141">
        <v>1</v>
      </c>
      <c r="E324" s="141" t="s">
        <v>28</v>
      </c>
      <c r="F324" s="144">
        <f>D324*'Daftar HPP'!$G$39</f>
        <v>1100</v>
      </c>
      <c r="H324" s="141">
        <v>5</v>
      </c>
      <c r="I324" s="142" t="s">
        <v>251</v>
      </c>
      <c r="J324" s="141">
        <v>1</v>
      </c>
      <c r="K324" s="141" t="s">
        <v>28</v>
      </c>
      <c r="L324" s="144">
        <f>J324*'Daftar HPP'!$G$39</f>
        <v>1100</v>
      </c>
      <c r="N324" s="141">
        <v>5</v>
      </c>
      <c r="O324" s="142" t="s">
        <v>251</v>
      </c>
      <c r="P324" s="141">
        <v>1</v>
      </c>
      <c r="Q324" s="141" t="s">
        <v>28</v>
      </c>
      <c r="R324" s="144">
        <f>P324*'Daftar HPP'!$G$39</f>
        <v>1100</v>
      </c>
    </row>
    <row r="325" spans="2:18" x14ac:dyDescent="0.45">
      <c r="B325" s="153"/>
      <c r="C325" s="150"/>
      <c r="D325" s="257" t="s">
        <v>53</v>
      </c>
      <c r="E325" s="258"/>
      <c r="F325" s="190">
        <f>SUM(F320:F324)</f>
        <v>20608.538976554355</v>
      </c>
      <c r="H325" s="153"/>
      <c r="I325" s="150"/>
      <c r="J325" s="257" t="s">
        <v>53</v>
      </c>
      <c r="K325" s="258"/>
      <c r="L325" s="190">
        <f>SUM(L320:L324)</f>
        <v>20260.945398747022</v>
      </c>
      <c r="N325" s="153"/>
      <c r="O325" s="150"/>
      <c r="P325" s="257" t="s">
        <v>53</v>
      </c>
      <c r="Q325" s="258"/>
      <c r="R325" s="190">
        <f>SUM(R320:R324)</f>
        <v>20161.986588678374</v>
      </c>
    </row>
    <row r="326" spans="2:18" x14ac:dyDescent="0.45">
      <c r="B326" s="153"/>
      <c r="C326" s="153"/>
      <c r="D326" s="251" t="s">
        <v>116</v>
      </c>
      <c r="E326" s="252"/>
      <c r="F326" s="147">
        <v>29000</v>
      </c>
      <c r="H326" s="153"/>
      <c r="I326" s="153"/>
      <c r="J326" s="251" t="s">
        <v>116</v>
      </c>
      <c r="K326" s="252"/>
      <c r="L326" s="147">
        <v>29000</v>
      </c>
      <c r="N326" s="153"/>
      <c r="O326" s="153"/>
      <c r="P326" s="251" t="s">
        <v>116</v>
      </c>
      <c r="Q326" s="252"/>
      <c r="R326" s="147">
        <v>29000</v>
      </c>
    </row>
    <row r="327" spans="2:18" x14ac:dyDescent="0.45">
      <c r="B327" s="153"/>
      <c r="C327" s="153"/>
      <c r="D327" s="251" t="s">
        <v>119</v>
      </c>
      <c r="E327" s="252"/>
      <c r="F327" s="148">
        <f>F326-F325</f>
        <v>8391.461023445645</v>
      </c>
      <c r="H327" s="153"/>
      <c r="I327" s="153"/>
      <c r="J327" s="251" t="s">
        <v>119</v>
      </c>
      <c r="K327" s="252"/>
      <c r="L327" s="148">
        <f>L326-L325</f>
        <v>8739.0546012529776</v>
      </c>
      <c r="N327" s="153"/>
      <c r="O327" s="153"/>
      <c r="P327" s="251" t="s">
        <v>119</v>
      </c>
      <c r="Q327" s="252"/>
      <c r="R327" s="148">
        <f>R326-R325</f>
        <v>8838.0134113216263</v>
      </c>
    </row>
    <row r="329" spans="2:18" ht="14.65" thickBot="1" x14ac:dyDescent="0.5">
      <c r="B329" s="2" t="s">
        <v>256</v>
      </c>
      <c r="H329" s="2" t="s">
        <v>259</v>
      </c>
      <c r="N329" s="2" t="s">
        <v>262</v>
      </c>
    </row>
    <row r="330" spans="2:18" x14ac:dyDescent="0.45">
      <c r="B330" s="119" t="s">
        <v>0</v>
      </c>
      <c r="C330" s="119" t="s">
        <v>49</v>
      </c>
      <c r="D330" s="119" t="s">
        <v>34</v>
      </c>
      <c r="E330" s="119" t="s">
        <v>50</v>
      </c>
      <c r="F330" s="119" t="s">
        <v>36</v>
      </c>
      <c r="H330" s="119" t="s">
        <v>0</v>
      </c>
      <c r="I330" s="119" t="s">
        <v>49</v>
      </c>
      <c r="J330" s="119" t="s">
        <v>34</v>
      </c>
      <c r="K330" s="119" t="s">
        <v>50</v>
      </c>
      <c r="L330" s="119" t="s">
        <v>36</v>
      </c>
      <c r="N330" s="119" t="s">
        <v>0</v>
      </c>
      <c r="O330" s="119" t="s">
        <v>49</v>
      </c>
      <c r="P330" s="119" t="s">
        <v>34</v>
      </c>
      <c r="Q330" s="119" t="s">
        <v>50</v>
      </c>
      <c r="R330" s="119" t="s">
        <v>36</v>
      </c>
    </row>
    <row r="331" spans="2:18" x14ac:dyDescent="0.45">
      <c r="B331" s="141">
        <v>1</v>
      </c>
      <c r="C331" s="142" t="s">
        <v>273</v>
      </c>
      <c r="D331" s="141">
        <v>1</v>
      </c>
      <c r="E331" s="141" t="s">
        <v>15</v>
      </c>
      <c r="F331" s="143">
        <f>D331*'Daftar HPP'!$L$101</f>
        <v>15319.580166485706</v>
      </c>
      <c r="H331" s="141">
        <v>1</v>
      </c>
      <c r="I331" s="142" t="s">
        <v>273</v>
      </c>
      <c r="J331" s="141">
        <v>1</v>
      </c>
      <c r="K331" s="141" t="s">
        <v>15</v>
      </c>
      <c r="L331" s="143">
        <f>J331*'Daftar HPP'!$L$101</f>
        <v>15319.580166485706</v>
      </c>
      <c r="N331" s="141">
        <v>1</v>
      </c>
      <c r="O331" s="142" t="s">
        <v>273</v>
      </c>
      <c r="P331" s="141">
        <v>1</v>
      </c>
      <c r="Q331" s="141" t="s">
        <v>15</v>
      </c>
      <c r="R331" s="143">
        <f>P331*'Daftar HPP'!$L$101</f>
        <v>15319.580166485706</v>
      </c>
    </row>
    <row r="332" spans="2:18" x14ac:dyDescent="0.45">
      <c r="B332" s="141">
        <v>2</v>
      </c>
      <c r="C332" s="142" t="s">
        <v>17</v>
      </c>
      <c r="D332" s="141">
        <v>30</v>
      </c>
      <c r="E332" s="141" t="s">
        <v>8</v>
      </c>
      <c r="F332" s="144">
        <f>D332*'Daftar HPP'!$F$152</f>
        <v>2093.9588100686497</v>
      </c>
      <c r="H332" s="141">
        <v>2</v>
      </c>
      <c r="I332" s="142" t="s">
        <v>25</v>
      </c>
      <c r="J332" s="141">
        <v>30</v>
      </c>
      <c r="K332" s="141" t="s">
        <v>8</v>
      </c>
      <c r="L332" s="144">
        <f>J332*'Daftar HPP'!$G$22</f>
        <v>1995</v>
      </c>
      <c r="N332" s="141">
        <v>2</v>
      </c>
      <c r="O332" s="142" t="s">
        <v>107</v>
      </c>
      <c r="P332" s="141">
        <v>30</v>
      </c>
      <c r="Q332" s="141" t="s">
        <v>8</v>
      </c>
      <c r="R332" s="144">
        <f>P332*'Daftar HPP'!$L$152</f>
        <v>2144.1036802532649</v>
      </c>
    </row>
    <row r="333" spans="2:18" x14ac:dyDescent="0.45">
      <c r="B333" s="141">
        <v>3</v>
      </c>
      <c r="C333" s="142" t="s">
        <v>105</v>
      </c>
      <c r="D333" s="141">
        <v>30</v>
      </c>
      <c r="E333" s="141" t="s">
        <v>8</v>
      </c>
      <c r="F333" s="144">
        <f>D333*'Daftar HPP'!$F$143</f>
        <v>2146.3497453310692</v>
      </c>
      <c r="H333" s="141">
        <v>3</v>
      </c>
      <c r="I333" s="142" t="s">
        <v>105</v>
      </c>
      <c r="J333" s="141">
        <v>30</v>
      </c>
      <c r="K333" s="141" t="s">
        <v>8</v>
      </c>
      <c r="L333" s="144">
        <f>J333*'Daftar HPP'!$F$143</f>
        <v>2146.3497453310692</v>
      </c>
      <c r="N333" s="141">
        <v>3</v>
      </c>
      <c r="O333" s="142" t="s">
        <v>105</v>
      </c>
      <c r="P333" s="141">
        <v>30</v>
      </c>
      <c r="Q333" s="141" t="s">
        <v>8</v>
      </c>
      <c r="R333" s="144">
        <f>P333*'Daftar HPP'!$F$143</f>
        <v>2146.3497453310692</v>
      </c>
    </row>
    <row r="334" spans="2:18" x14ac:dyDescent="0.45">
      <c r="B334" s="141">
        <v>4</v>
      </c>
      <c r="C334" s="142" t="s">
        <v>270</v>
      </c>
      <c r="D334" s="141">
        <v>1</v>
      </c>
      <c r="E334" s="141" t="s">
        <v>8</v>
      </c>
      <c r="F334" s="144">
        <f>D334*'Daftar HPP'!$G$33</f>
        <v>100</v>
      </c>
      <c r="H334" s="141">
        <v>4</v>
      </c>
      <c r="I334" s="142" t="s">
        <v>270</v>
      </c>
      <c r="J334" s="141">
        <v>1</v>
      </c>
      <c r="K334" s="141" t="s">
        <v>8</v>
      </c>
      <c r="L334" s="144">
        <f>J334*'Daftar HPP'!$G$33</f>
        <v>100</v>
      </c>
      <c r="N334" s="141">
        <v>4</v>
      </c>
      <c r="O334" s="142" t="s">
        <v>270</v>
      </c>
      <c r="P334" s="141">
        <v>1</v>
      </c>
      <c r="Q334" s="141" t="s">
        <v>8</v>
      </c>
      <c r="R334" s="144">
        <f>P334*'Daftar HPP'!$G$33</f>
        <v>100</v>
      </c>
    </row>
    <row r="335" spans="2:18" x14ac:dyDescent="0.45">
      <c r="B335" s="141">
        <v>5</v>
      </c>
      <c r="C335" s="142" t="s">
        <v>251</v>
      </c>
      <c r="D335" s="141">
        <v>1</v>
      </c>
      <c r="E335" s="141" t="s">
        <v>28</v>
      </c>
      <c r="F335" s="144">
        <f>D335*'Daftar HPP'!$G$39</f>
        <v>1100</v>
      </c>
      <c r="H335" s="141">
        <v>5</v>
      </c>
      <c r="I335" s="142" t="s">
        <v>251</v>
      </c>
      <c r="J335" s="141">
        <v>1</v>
      </c>
      <c r="K335" s="141" t="s">
        <v>28</v>
      </c>
      <c r="L335" s="144">
        <f>J335*'Daftar HPP'!$G$39</f>
        <v>1100</v>
      </c>
      <c r="N335" s="141">
        <v>5</v>
      </c>
      <c r="O335" s="142" t="s">
        <v>251</v>
      </c>
      <c r="P335" s="141">
        <v>1</v>
      </c>
      <c r="Q335" s="141" t="s">
        <v>28</v>
      </c>
      <c r="R335" s="144">
        <f>P335*'Daftar HPP'!$G$39</f>
        <v>1100</v>
      </c>
    </row>
    <row r="336" spans="2:18" x14ac:dyDescent="0.45">
      <c r="B336" s="153"/>
      <c r="C336" s="150"/>
      <c r="D336" s="261" t="s">
        <v>53</v>
      </c>
      <c r="E336" s="261"/>
      <c r="F336" s="190">
        <f>SUM(F331:F335)</f>
        <v>20759.888721885425</v>
      </c>
      <c r="H336" s="153"/>
      <c r="I336" s="150"/>
      <c r="J336" s="261" t="s">
        <v>53</v>
      </c>
      <c r="K336" s="261"/>
      <c r="L336" s="190">
        <f>SUM(L331:L335)</f>
        <v>20660.929911816776</v>
      </c>
      <c r="N336" s="153"/>
      <c r="O336" s="150"/>
      <c r="P336" s="261" t="s">
        <v>53</v>
      </c>
      <c r="Q336" s="261"/>
      <c r="R336" s="190">
        <f>SUM(R331:R335)</f>
        <v>20810.033592070042</v>
      </c>
    </row>
    <row r="337" spans="2:27" x14ac:dyDescent="0.45">
      <c r="B337" s="153"/>
      <c r="C337" s="153"/>
      <c r="D337" s="256" t="s">
        <v>116</v>
      </c>
      <c r="E337" s="256"/>
      <c r="F337" s="147">
        <v>29000</v>
      </c>
      <c r="H337" s="153"/>
      <c r="I337" s="153"/>
      <c r="J337" s="256" t="s">
        <v>116</v>
      </c>
      <c r="K337" s="256"/>
      <c r="L337" s="147">
        <v>29000</v>
      </c>
      <c r="N337" s="153"/>
      <c r="O337" s="153"/>
      <c r="P337" s="256" t="s">
        <v>116</v>
      </c>
      <c r="Q337" s="256"/>
      <c r="R337" s="147">
        <v>29000</v>
      </c>
    </row>
    <row r="338" spans="2:27" x14ac:dyDescent="0.45">
      <c r="B338" s="153"/>
      <c r="C338" s="153"/>
      <c r="D338" s="256" t="s">
        <v>119</v>
      </c>
      <c r="E338" s="256"/>
      <c r="F338" s="148">
        <f>F337-F336</f>
        <v>8240.1112781145748</v>
      </c>
      <c r="H338" s="153"/>
      <c r="I338" s="153"/>
      <c r="J338" s="256" t="s">
        <v>119</v>
      </c>
      <c r="K338" s="256"/>
      <c r="L338" s="148">
        <f>L337-L336</f>
        <v>8339.0700881832236</v>
      </c>
      <c r="N338" s="153"/>
      <c r="O338" s="153"/>
      <c r="P338" s="256" t="s">
        <v>119</v>
      </c>
      <c r="Q338" s="256"/>
      <c r="R338" s="148">
        <f>R337-R336</f>
        <v>8189.9664079299582</v>
      </c>
    </row>
    <row r="340" spans="2:27" ht="14.65" thickBot="1" x14ac:dyDescent="0.5">
      <c r="B340" s="2" t="s">
        <v>257</v>
      </c>
      <c r="H340" s="2" t="s">
        <v>260</v>
      </c>
      <c r="N340" s="2" t="s">
        <v>263</v>
      </c>
    </row>
    <row r="341" spans="2:27" x14ac:dyDescent="0.45">
      <c r="B341" s="119" t="s">
        <v>0</v>
      </c>
      <c r="C341" s="119" t="s">
        <v>49</v>
      </c>
      <c r="D341" s="119" t="s">
        <v>34</v>
      </c>
      <c r="E341" s="119" t="s">
        <v>50</v>
      </c>
      <c r="F341" s="119" t="s">
        <v>36</v>
      </c>
      <c r="H341" s="119" t="s">
        <v>0</v>
      </c>
      <c r="I341" s="119" t="s">
        <v>49</v>
      </c>
      <c r="J341" s="119" t="s">
        <v>34</v>
      </c>
      <c r="K341" s="119" t="s">
        <v>50</v>
      </c>
      <c r="L341" s="119" t="s">
        <v>36</v>
      </c>
      <c r="N341" s="119" t="s">
        <v>0</v>
      </c>
      <c r="O341" s="119" t="s">
        <v>49</v>
      </c>
      <c r="P341" s="119" t="s">
        <v>34</v>
      </c>
      <c r="Q341" s="119" t="s">
        <v>50</v>
      </c>
      <c r="R341" s="119" t="s">
        <v>36</v>
      </c>
    </row>
    <row r="342" spans="2:27" x14ac:dyDescent="0.45">
      <c r="B342" s="141">
        <v>1</v>
      </c>
      <c r="C342" s="142" t="s">
        <v>273</v>
      </c>
      <c r="D342" s="141">
        <v>1</v>
      </c>
      <c r="E342" s="141" t="s">
        <v>15</v>
      </c>
      <c r="F342" s="143">
        <f>D342*'Daftar HPP'!$L$101</f>
        <v>15319.580166485706</v>
      </c>
      <c r="H342" s="141">
        <v>1</v>
      </c>
      <c r="I342" s="142" t="s">
        <v>273</v>
      </c>
      <c r="J342" s="141">
        <v>1</v>
      </c>
      <c r="K342" s="141" t="s">
        <v>15</v>
      </c>
      <c r="L342" s="143">
        <f>J342*'Daftar HPP'!$L$101</f>
        <v>15319.580166485706</v>
      </c>
      <c r="N342" s="141">
        <v>1</v>
      </c>
      <c r="O342" s="142" t="s">
        <v>273</v>
      </c>
      <c r="P342" s="141">
        <v>1</v>
      </c>
      <c r="Q342" s="141" t="s">
        <v>15</v>
      </c>
      <c r="R342" s="143">
        <f>P342*'Daftar HPP'!$L$101</f>
        <v>15319.580166485706</v>
      </c>
    </row>
    <row r="343" spans="2:27" x14ac:dyDescent="0.45">
      <c r="B343" s="141">
        <v>2</v>
      </c>
      <c r="C343" s="142" t="s">
        <v>17</v>
      </c>
      <c r="D343" s="141">
        <v>30</v>
      </c>
      <c r="E343" s="141" t="s">
        <v>8</v>
      </c>
      <c r="F343" s="144">
        <f>D343*'Daftar HPP'!$F$152</f>
        <v>2093.9588100686497</v>
      </c>
      <c r="H343" s="141">
        <v>2</v>
      </c>
      <c r="I343" s="142" t="s">
        <v>25</v>
      </c>
      <c r="J343" s="141">
        <v>30</v>
      </c>
      <c r="K343" s="141" t="s">
        <v>8</v>
      </c>
      <c r="L343" s="144">
        <f>J343*'Daftar HPP'!$G$22</f>
        <v>1995</v>
      </c>
      <c r="N343" s="141">
        <v>2</v>
      </c>
      <c r="O343" s="142" t="s">
        <v>107</v>
      </c>
      <c r="P343" s="141">
        <v>30</v>
      </c>
      <c r="Q343" s="141" t="s">
        <v>8</v>
      </c>
      <c r="R343" s="144">
        <f>P343*'Daftar HPP'!$L$152</f>
        <v>2144.1036802532649</v>
      </c>
    </row>
    <row r="344" spans="2:27" x14ac:dyDescent="0.45">
      <c r="B344" s="141">
        <v>3</v>
      </c>
      <c r="C344" s="142" t="s">
        <v>107</v>
      </c>
      <c r="D344" s="141">
        <v>30</v>
      </c>
      <c r="E344" s="141" t="s">
        <v>8</v>
      </c>
      <c r="F344" s="144">
        <f>D344*'Daftar HPP'!$L$152</f>
        <v>2144.1036802532649</v>
      </c>
      <c r="H344" s="141">
        <v>3</v>
      </c>
      <c r="I344" s="142" t="s">
        <v>107</v>
      </c>
      <c r="J344" s="141">
        <v>30</v>
      </c>
      <c r="K344" s="141" t="s">
        <v>8</v>
      </c>
      <c r="L344" s="144">
        <f>J344*'Daftar HPP'!$L$152</f>
        <v>2144.1036802532649</v>
      </c>
      <c r="N344" s="141">
        <v>3</v>
      </c>
      <c r="O344" s="142" t="s">
        <v>26</v>
      </c>
      <c r="P344" s="141">
        <v>30</v>
      </c>
      <c r="Q344" s="141" t="s">
        <v>8</v>
      </c>
      <c r="R344" s="144">
        <f>P344*'Daftar HPP'!$L$143</f>
        <v>1647.4064221926658</v>
      </c>
    </row>
    <row r="345" spans="2:27" x14ac:dyDescent="0.45">
      <c r="B345" s="141">
        <v>4</v>
      </c>
      <c r="C345" s="142" t="s">
        <v>270</v>
      </c>
      <c r="D345" s="141">
        <v>1</v>
      </c>
      <c r="E345" s="141" t="s">
        <v>8</v>
      </c>
      <c r="F345" s="144">
        <f>D345*'Daftar HPP'!$G$33</f>
        <v>100</v>
      </c>
      <c r="H345" s="141">
        <v>4</v>
      </c>
      <c r="I345" s="142" t="s">
        <v>270</v>
      </c>
      <c r="J345" s="141">
        <v>1</v>
      </c>
      <c r="K345" s="141" t="s">
        <v>8</v>
      </c>
      <c r="L345" s="144">
        <f>J345*'Daftar HPP'!$G$33</f>
        <v>100</v>
      </c>
      <c r="N345" s="141">
        <v>4</v>
      </c>
      <c r="O345" s="142" t="s">
        <v>270</v>
      </c>
      <c r="P345" s="141">
        <v>1</v>
      </c>
      <c r="Q345" s="141" t="s">
        <v>8</v>
      </c>
      <c r="R345" s="144">
        <f>P345*'Daftar HPP'!$G$33</f>
        <v>100</v>
      </c>
    </row>
    <row r="346" spans="2:27" x14ac:dyDescent="0.45">
      <c r="B346" s="141">
        <v>5</v>
      </c>
      <c r="C346" s="142" t="s">
        <v>251</v>
      </c>
      <c r="D346" s="141">
        <v>1</v>
      </c>
      <c r="E346" s="141" t="s">
        <v>28</v>
      </c>
      <c r="F346" s="144">
        <f>D346*'Daftar HPP'!$G$39</f>
        <v>1100</v>
      </c>
      <c r="H346" s="141">
        <v>5</v>
      </c>
      <c r="I346" s="142" t="s">
        <v>251</v>
      </c>
      <c r="J346" s="141">
        <v>1</v>
      </c>
      <c r="K346" s="141" t="s">
        <v>28</v>
      </c>
      <c r="L346" s="144">
        <f>J346*'Daftar HPP'!$G$39</f>
        <v>1100</v>
      </c>
      <c r="N346" s="141">
        <v>5</v>
      </c>
      <c r="O346" s="142" t="s">
        <v>251</v>
      </c>
      <c r="P346" s="141">
        <v>1</v>
      </c>
      <c r="Q346" s="141" t="s">
        <v>28</v>
      </c>
      <c r="R346" s="144">
        <f>P346*'Daftar HPP'!$G$39</f>
        <v>1100</v>
      </c>
    </row>
    <row r="347" spans="2:27" x14ac:dyDescent="0.45">
      <c r="B347" s="153"/>
      <c r="C347" s="150"/>
      <c r="D347" s="261" t="s">
        <v>53</v>
      </c>
      <c r="E347" s="261"/>
      <c r="F347" s="190">
        <f>SUM(F342:F346)</f>
        <v>20757.64265680762</v>
      </c>
      <c r="H347" s="153"/>
      <c r="I347" s="150"/>
      <c r="J347" s="261" t="s">
        <v>53</v>
      </c>
      <c r="K347" s="261"/>
      <c r="L347" s="190">
        <f>SUM(L342:L346)</f>
        <v>20658.683846738972</v>
      </c>
      <c r="N347" s="153"/>
      <c r="O347" s="150"/>
      <c r="P347" s="261" t="s">
        <v>53</v>
      </c>
      <c r="Q347" s="261"/>
      <c r="R347" s="190">
        <f>SUM(R342:R346)</f>
        <v>20311.090268931639</v>
      </c>
    </row>
    <row r="348" spans="2:27" x14ac:dyDescent="0.45">
      <c r="B348" s="153"/>
      <c r="C348" s="153"/>
      <c r="D348" s="256" t="s">
        <v>116</v>
      </c>
      <c r="E348" s="256"/>
      <c r="F348" s="147">
        <v>29000</v>
      </c>
      <c r="H348" s="153"/>
      <c r="I348" s="153"/>
      <c r="J348" s="256" t="s">
        <v>116</v>
      </c>
      <c r="K348" s="256"/>
      <c r="L348" s="147">
        <v>29000</v>
      </c>
      <c r="N348" s="153"/>
      <c r="O348" s="153"/>
      <c r="P348" s="256" t="s">
        <v>116</v>
      </c>
      <c r="Q348" s="256"/>
      <c r="R348" s="147">
        <v>29000</v>
      </c>
    </row>
    <row r="349" spans="2:27" x14ac:dyDescent="0.45">
      <c r="B349" s="153"/>
      <c r="C349" s="153"/>
      <c r="D349" s="256" t="s">
        <v>119</v>
      </c>
      <c r="E349" s="256"/>
      <c r="F349" s="148">
        <f>F348-F347</f>
        <v>8242.3573431923796</v>
      </c>
      <c r="H349" s="153"/>
      <c r="I349" s="153"/>
      <c r="J349" s="256" t="s">
        <v>119</v>
      </c>
      <c r="K349" s="256"/>
      <c r="L349" s="148">
        <f>L348-L347</f>
        <v>8341.3161532610284</v>
      </c>
      <c r="N349" s="153"/>
      <c r="O349" s="153"/>
      <c r="P349" s="256" t="s">
        <v>119</v>
      </c>
      <c r="Q349" s="256"/>
      <c r="R349" s="148">
        <f>R348-R347</f>
        <v>8688.909731068361</v>
      </c>
    </row>
    <row r="351" spans="2:27" x14ac:dyDescent="0.45">
      <c r="B351" s="2" t="s">
        <v>318</v>
      </c>
      <c r="T351" s="2" t="s">
        <v>325</v>
      </c>
    </row>
    <row r="352" spans="2:27" x14ac:dyDescent="0.45">
      <c r="B352" s="122" t="s">
        <v>0</v>
      </c>
      <c r="C352" s="244" t="s">
        <v>125</v>
      </c>
      <c r="D352" s="244"/>
      <c r="E352" s="122" t="s">
        <v>34</v>
      </c>
      <c r="F352" s="122" t="s">
        <v>50</v>
      </c>
      <c r="G352" s="123" t="s">
        <v>126</v>
      </c>
      <c r="H352" s="124" t="s">
        <v>119</v>
      </c>
      <c r="I352" s="137" t="s">
        <v>127</v>
      </c>
      <c r="J352" s="198"/>
      <c r="T352" s="122" t="s">
        <v>0</v>
      </c>
      <c r="U352" s="244" t="s">
        <v>125</v>
      </c>
      <c r="V352" s="244"/>
      <c r="W352" s="122" t="s">
        <v>34</v>
      </c>
      <c r="X352" s="122" t="s">
        <v>50</v>
      </c>
      <c r="Y352" s="123" t="s">
        <v>126</v>
      </c>
      <c r="Z352" s="124" t="s">
        <v>119</v>
      </c>
      <c r="AA352" s="137" t="s">
        <v>127</v>
      </c>
    </row>
    <row r="353" spans="2:27" x14ac:dyDescent="0.45">
      <c r="B353" s="19">
        <v>1</v>
      </c>
      <c r="C353" s="242" t="s">
        <v>276</v>
      </c>
      <c r="D353" s="242"/>
      <c r="E353" s="19">
        <v>1</v>
      </c>
      <c r="F353" s="19" t="s">
        <v>118</v>
      </c>
      <c r="G353" s="16">
        <f>F11</f>
        <v>17824.480472258871</v>
      </c>
      <c r="H353" s="176">
        <f>I353-G353</f>
        <v>11175.519527741129</v>
      </c>
      <c r="I353" s="176">
        <f>F12</f>
        <v>29000</v>
      </c>
      <c r="T353" s="19">
        <v>1</v>
      </c>
      <c r="U353" s="242" t="s">
        <v>276</v>
      </c>
      <c r="V353" s="242"/>
      <c r="W353" s="19">
        <v>1</v>
      </c>
      <c r="X353" s="19" t="s">
        <v>118</v>
      </c>
      <c r="Y353" s="16">
        <f>X11</f>
        <v>26530.107092827664</v>
      </c>
      <c r="Z353" s="176">
        <f t="shared" ref="Z353:Z362" si="0">AA353-Y353</f>
        <v>16469.892907172336</v>
      </c>
      <c r="AA353" s="176">
        <f>X12</f>
        <v>43000</v>
      </c>
    </row>
    <row r="354" spans="2:27" x14ac:dyDescent="0.45">
      <c r="B354" s="19">
        <v>2</v>
      </c>
      <c r="C354" s="242" t="s">
        <v>277</v>
      </c>
      <c r="D354" s="242"/>
      <c r="E354" s="19">
        <v>1</v>
      </c>
      <c r="F354" s="19" t="s">
        <v>118</v>
      </c>
      <c r="G354" s="16">
        <f>F23</f>
        <v>17975.830217589941</v>
      </c>
      <c r="H354" s="176">
        <f t="shared" ref="H354:H361" si="1">I354-G354</f>
        <v>11024.169782410059</v>
      </c>
      <c r="I354" s="176">
        <f>F24</f>
        <v>29000</v>
      </c>
      <c r="T354" s="19">
        <v>2</v>
      </c>
      <c r="U354" s="242" t="s">
        <v>277</v>
      </c>
      <c r="V354" s="242"/>
      <c r="W354" s="19">
        <v>1</v>
      </c>
      <c r="X354" s="19" t="s">
        <v>118</v>
      </c>
      <c r="Y354" s="16">
        <f>X23</f>
        <v>26681.456838158734</v>
      </c>
      <c r="Z354" s="176">
        <f t="shared" si="0"/>
        <v>16318.543161841266</v>
      </c>
      <c r="AA354" s="176">
        <f>X24</f>
        <v>43000</v>
      </c>
    </row>
    <row r="355" spans="2:27" x14ac:dyDescent="0.45">
      <c r="B355" s="19">
        <v>3</v>
      </c>
      <c r="C355" s="242" t="s">
        <v>278</v>
      </c>
      <c r="D355" s="242"/>
      <c r="E355" s="19">
        <v>1</v>
      </c>
      <c r="F355" s="19" t="s">
        <v>118</v>
      </c>
      <c r="G355" s="16">
        <f>F35</f>
        <v>17973.584152512136</v>
      </c>
      <c r="H355" s="176">
        <f t="shared" si="1"/>
        <v>11026.415847487864</v>
      </c>
      <c r="I355" s="176">
        <f>F36</f>
        <v>29000</v>
      </c>
      <c r="T355" s="19">
        <v>3</v>
      </c>
      <c r="U355" s="242" t="s">
        <v>278</v>
      </c>
      <c r="V355" s="242"/>
      <c r="W355" s="19">
        <v>1</v>
      </c>
      <c r="X355" s="19" t="s">
        <v>118</v>
      </c>
      <c r="Y355" s="16">
        <f>X35</f>
        <v>26679.210773080929</v>
      </c>
      <c r="Z355" s="176">
        <f t="shared" si="0"/>
        <v>16320.789226919071</v>
      </c>
      <c r="AA355" s="176">
        <f>X36</f>
        <v>43000</v>
      </c>
    </row>
    <row r="356" spans="2:27" x14ac:dyDescent="0.45">
      <c r="B356" s="19">
        <v>4</v>
      </c>
      <c r="C356" s="242" t="s">
        <v>279</v>
      </c>
      <c r="D356" s="242"/>
      <c r="E356" s="19">
        <v>1</v>
      </c>
      <c r="F356" s="19" t="s">
        <v>118</v>
      </c>
      <c r="G356" s="16">
        <f>F47</f>
        <v>17476.886894451534</v>
      </c>
      <c r="H356" s="176">
        <f t="shared" si="1"/>
        <v>11523.113105548466</v>
      </c>
      <c r="I356" s="176">
        <f>F48</f>
        <v>29000</v>
      </c>
      <c r="T356" s="19">
        <v>4</v>
      </c>
      <c r="U356" s="242" t="s">
        <v>279</v>
      </c>
      <c r="V356" s="242"/>
      <c r="W356" s="19">
        <v>1</v>
      </c>
      <c r="X356" s="19" t="s">
        <v>118</v>
      </c>
      <c r="Y356" s="16">
        <f>X47</f>
        <v>26182.513515020331</v>
      </c>
      <c r="Z356" s="176">
        <f t="shared" si="0"/>
        <v>16817.486484979669</v>
      </c>
      <c r="AA356" s="176">
        <f>X48</f>
        <v>43000</v>
      </c>
    </row>
    <row r="357" spans="2:27" x14ac:dyDescent="0.45">
      <c r="B357" s="19">
        <v>5</v>
      </c>
      <c r="C357" s="242" t="s">
        <v>280</v>
      </c>
      <c r="D357" s="242"/>
      <c r="E357" s="19">
        <v>1</v>
      </c>
      <c r="F357" s="19" t="s">
        <v>118</v>
      </c>
      <c r="G357" s="16">
        <f>L11</f>
        <v>17876.871407521292</v>
      </c>
      <c r="H357" s="176">
        <f t="shared" si="1"/>
        <v>11123.128592478708</v>
      </c>
      <c r="I357" s="176">
        <f>L12</f>
        <v>29000</v>
      </c>
      <c r="T357" s="19">
        <v>5</v>
      </c>
      <c r="U357" s="242" t="s">
        <v>280</v>
      </c>
      <c r="V357" s="242"/>
      <c r="W357" s="19">
        <v>1</v>
      </c>
      <c r="X357" s="19" t="s">
        <v>118</v>
      </c>
      <c r="Y357" s="16">
        <f>AD11</f>
        <v>26582.498028090085</v>
      </c>
      <c r="Z357" s="176">
        <f t="shared" si="0"/>
        <v>16417.501971909915</v>
      </c>
      <c r="AA357" s="176">
        <f>AD12</f>
        <v>43000</v>
      </c>
    </row>
    <row r="358" spans="2:27" x14ac:dyDescent="0.45">
      <c r="B358" s="19">
        <v>6</v>
      </c>
      <c r="C358" s="242" t="s">
        <v>281</v>
      </c>
      <c r="D358" s="242"/>
      <c r="E358" s="19">
        <v>1</v>
      </c>
      <c r="F358" s="19" t="s">
        <v>118</v>
      </c>
      <c r="G358" s="16">
        <f>L23</f>
        <v>17874.625342443487</v>
      </c>
      <c r="H358" s="176">
        <f t="shared" si="1"/>
        <v>11125.374657556513</v>
      </c>
      <c r="I358" s="176">
        <f>L24</f>
        <v>29000</v>
      </c>
      <c r="T358" s="19">
        <v>6</v>
      </c>
      <c r="U358" s="242" t="s">
        <v>281</v>
      </c>
      <c r="V358" s="242"/>
      <c r="W358" s="19">
        <v>1</v>
      </c>
      <c r="X358" s="19" t="s">
        <v>118</v>
      </c>
      <c r="Y358" s="16">
        <f>AD23</f>
        <v>26580.251963012281</v>
      </c>
      <c r="Z358" s="176">
        <f t="shared" si="0"/>
        <v>16419.748036987719</v>
      </c>
      <c r="AA358" s="176">
        <f>AD24</f>
        <v>43000</v>
      </c>
    </row>
    <row r="359" spans="2:27" x14ac:dyDescent="0.45">
      <c r="B359" s="19">
        <v>7</v>
      </c>
      <c r="C359" s="242" t="s">
        <v>282</v>
      </c>
      <c r="D359" s="242"/>
      <c r="E359" s="19">
        <v>1</v>
      </c>
      <c r="F359" s="19" t="s">
        <v>118</v>
      </c>
      <c r="G359" s="16">
        <f>L35</f>
        <v>17377.928084382889</v>
      </c>
      <c r="H359" s="176">
        <f t="shared" si="1"/>
        <v>11622.071915617111</v>
      </c>
      <c r="I359" s="176">
        <f>L36</f>
        <v>29000</v>
      </c>
      <c r="T359" s="19">
        <v>7</v>
      </c>
      <c r="U359" s="242" t="s">
        <v>282</v>
      </c>
      <c r="V359" s="242"/>
      <c r="W359" s="19">
        <v>1</v>
      </c>
      <c r="X359" s="19" t="s">
        <v>118</v>
      </c>
      <c r="Y359" s="16">
        <f>AD35</f>
        <v>26083.554704951683</v>
      </c>
      <c r="Z359" s="176">
        <f t="shared" si="0"/>
        <v>16916.445295048317</v>
      </c>
      <c r="AA359" s="176">
        <f>AD36</f>
        <v>43000</v>
      </c>
    </row>
    <row r="360" spans="2:27" x14ac:dyDescent="0.45">
      <c r="B360" s="19">
        <v>8</v>
      </c>
      <c r="C360" s="242" t="s">
        <v>283</v>
      </c>
      <c r="D360" s="242"/>
      <c r="E360" s="19">
        <v>1</v>
      </c>
      <c r="F360" s="19" t="s">
        <v>118</v>
      </c>
      <c r="G360" s="16">
        <f>L47</f>
        <v>18025.975087774557</v>
      </c>
      <c r="H360" s="176">
        <f t="shared" si="1"/>
        <v>10974.024912225443</v>
      </c>
      <c r="I360" s="176">
        <f>L48</f>
        <v>29000</v>
      </c>
      <c r="T360" s="19">
        <v>8</v>
      </c>
      <c r="U360" s="242" t="s">
        <v>283</v>
      </c>
      <c r="V360" s="242"/>
      <c r="W360" s="19">
        <v>1</v>
      </c>
      <c r="X360" s="19" t="s">
        <v>118</v>
      </c>
      <c r="Y360" s="16">
        <f>AD47</f>
        <v>26731.601708343351</v>
      </c>
      <c r="Z360" s="176">
        <f t="shared" si="0"/>
        <v>16268.398291656649</v>
      </c>
      <c r="AA360" s="176">
        <f>AD48</f>
        <v>43000</v>
      </c>
    </row>
    <row r="361" spans="2:27" x14ac:dyDescent="0.45">
      <c r="B361" s="19">
        <v>9</v>
      </c>
      <c r="C361" s="242" t="s">
        <v>284</v>
      </c>
      <c r="D361" s="242"/>
      <c r="E361" s="19">
        <v>1</v>
      </c>
      <c r="F361" s="19" t="s">
        <v>118</v>
      </c>
      <c r="G361" s="16">
        <f>R11</f>
        <v>17527.031764636151</v>
      </c>
      <c r="H361" s="176">
        <f t="shared" si="1"/>
        <v>11472.968235363849</v>
      </c>
      <c r="I361" s="176">
        <f>R12</f>
        <v>29000</v>
      </c>
      <c r="T361" s="19">
        <v>9</v>
      </c>
      <c r="U361" s="242" t="s">
        <v>284</v>
      </c>
      <c r="V361" s="242"/>
      <c r="W361" s="19">
        <v>1</v>
      </c>
      <c r="X361" s="19" t="s">
        <v>118</v>
      </c>
      <c r="Y361" s="16">
        <f>AJ11</f>
        <v>26232.658385204948</v>
      </c>
      <c r="Z361" s="176">
        <f t="shared" si="0"/>
        <v>16767.341614795052</v>
      </c>
      <c r="AA361" s="176">
        <f>AJ12</f>
        <v>43000</v>
      </c>
    </row>
    <row r="362" spans="2:27" x14ac:dyDescent="0.45">
      <c r="B362" s="19">
        <v>10</v>
      </c>
      <c r="C362" s="128" t="s">
        <v>317</v>
      </c>
      <c r="D362" s="128"/>
      <c r="E362" s="19">
        <v>1</v>
      </c>
      <c r="F362" s="19" t="s">
        <v>118</v>
      </c>
      <c r="G362" s="16">
        <f>R23</f>
        <v>17529.277829713956</v>
      </c>
      <c r="H362" s="176">
        <f>I362-G362</f>
        <v>11470.722170286044</v>
      </c>
      <c r="I362" s="176">
        <f>R24</f>
        <v>29000</v>
      </c>
      <c r="T362" s="19">
        <v>10</v>
      </c>
      <c r="U362" s="128" t="s">
        <v>317</v>
      </c>
      <c r="V362" s="128"/>
      <c r="W362" s="19">
        <v>1</v>
      </c>
      <c r="X362" s="19" t="s">
        <v>118</v>
      </c>
      <c r="Y362" s="16">
        <f>AJ23</f>
        <v>26234.904450282753</v>
      </c>
      <c r="Z362" s="176">
        <f t="shared" si="0"/>
        <v>16765.095549717247</v>
      </c>
      <c r="AA362" s="176">
        <f>AJ24</f>
        <v>43000</v>
      </c>
    </row>
    <row r="364" spans="2:27" x14ac:dyDescent="0.45">
      <c r="B364" s="2" t="s">
        <v>319</v>
      </c>
      <c r="T364" s="2" t="s">
        <v>326</v>
      </c>
    </row>
    <row r="365" spans="2:27" x14ac:dyDescent="0.45">
      <c r="B365" s="122" t="s">
        <v>0</v>
      </c>
      <c r="C365" s="244" t="s">
        <v>125</v>
      </c>
      <c r="D365" s="244"/>
      <c r="E365" s="122" t="s">
        <v>34</v>
      </c>
      <c r="F365" s="122" t="s">
        <v>50</v>
      </c>
      <c r="G365" s="123" t="s">
        <v>126</v>
      </c>
      <c r="H365" s="124" t="s">
        <v>119</v>
      </c>
      <c r="I365" s="137" t="s">
        <v>127</v>
      </c>
      <c r="T365" s="122" t="s">
        <v>0</v>
      </c>
      <c r="U365" s="244" t="s">
        <v>125</v>
      </c>
      <c r="V365" s="244"/>
      <c r="W365" s="122" t="s">
        <v>34</v>
      </c>
      <c r="X365" s="122" t="s">
        <v>50</v>
      </c>
      <c r="Y365" s="123" t="s">
        <v>126</v>
      </c>
      <c r="Z365" s="124" t="s">
        <v>119</v>
      </c>
      <c r="AA365" s="137" t="s">
        <v>127</v>
      </c>
    </row>
    <row r="366" spans="2:27" x14ac:dyDescent="0.45">
      <c r="B366" s="19">
        <v>1</v>
      </c>
      <c r="C366" s="242" t="s">
        <v>276</v>
      </c>
      <c r="D366" s="242"/>
      <c r="E366" s="19">
        <v>1</v>
      </c>
      <c r="F366" s="19" t="s">
        <v>118</v>
      </c>
      <c r="G366" s="16">
        <f>F62</f>
        <v>19698.563406868121</v>
      </c>
      <c r="H366" s="176">
        <f>I366-G366</f>
        <v>12301.436593131879</v>
      </c>
      <c r="I366" s="176">
        <f>F63</f>
        <v>32000</v>
      </c>
      <c r="T366" s="19">
        <v>1</v>
      </c>
      <c r="U366" s="242" t="s">
        <v>276</v>
      </c>
      <c r="V366" s="242"/>
      <c r="W366" s="19">
        <v>1</v>
      </c>
      <c r="X366" s="19" t="s">
        <v>118</v>
      </c>
      <c r="Y366" s="16">
        <f>X62</f>
        <v>30278.272962046165</v>
      </c>
      <c r="Z366" s="176">
        <f>AA366-Y366</f>
        <v>18721.727037953835</v>
      </c>
      <c r="AA366" s="176">
        <f>X63</f>
        <v>49000</v>
      </c>
    </row>
    <row r="367" spans="2:27" x14ac:dyDescent="0.45">
      <c r="B367" s="19">
        <v>2</v>
      </c>
      <c r="C367" s="242" t="s">
        <v>277</v>
      </c>
      <c r="D367" s="242"/>
      <c r="E367" s="19">
        <v>1</v>
      </c>
      <c r="F367" s="19" t="s">
        <v>118</v>
      </c>
      <c r="G367" s="16">
        <f>F75</f>
        <v>19849.913152199191</v>
      </c>
      <c r="H367" s="176">
        <f t="shared" ref="H367:H375" si="2">I367-G367</f>
        <v>12150.086847800809</v>
      </c>
      <c r="I367" s="176">
        <f>F76</f>
        <v>32000</v>
      </c>
      <c r="T367" s="19">
        <v>2</v>
      </c>
      <c r="U367" s="242" t="s">
        <v>277</v>
      </c>
      <c r="V367" s="242"/>
      <c r="W367" s="19">
        <v>1</v>
      </c>
      <c r="X367" s="19" t="s">
        <v>118</v>
      </c>
      <c r="Y367" s="16">
        <f>X75</f>
        <v>30429.622707377235</v>
      </c>
      <c r="Z367" s="176">
        <f t="shared" ref="Z367:Z375" si="3">AA367-Y367</f>
        <v>18570.377292622765</v>
      </c>
      <c r="AA367" s="176">
        <f>X76</f>
        <v>49000</v>
      </c>
    </row>
    <row r="368" spans="2:27" x14ac:dyDescent="0.45">
      <c r="B368" s="19">
        <v>3</v>
      </c>
      <c r="C368" s="242" t="s">
        <v>278</v>
      </c>
      <c r="D368" s="242"/>
      <c r="E368" s="19">
        <v>1</v>
      </c>
      <c r="F368" s="19" t="s">
        <v>118</v>
      </c>
      <c r="G368" s="16">
        <f>F88</f>
        <v>19847.667087121386</v>
      </c>
      <c r="H368" s="176">
        <f t="shared" si="2"/>
        <v>12152.332912878614</v>
      </c>
      <c r="I368" s="176">
        <f>F89</f>
        <v>32000</v>
      </c>
      <c r="T368" s="19">
        <v>3</v>
      </c>
      <c r="U368" s="242" t="s">
        <v>278</v>
      </c>
      <c r="V368" s="242"/>
      <c r="W368" s="19">
        <v>1</v>
      </c>
      <c r="X368" s="19" t="s">
        <v>118</v>
      </c>
      <c r="Y368" s="16">
        <f>X88</f>
        <v>30427.37664229943</v>
      </c>
      <c r="Z368" s="176">
        <f t="shared" si="3"/>
        <v>18572.62335770057</v>
      </c>
      <c r="AA368" s="176">
        <f>X89</f>
        <v>49000</v>
      </c>
    </row>
    <row r="369" spans="2:27" x14ac:dyDescent="0.45">
      <c r="B369" s="19">
        <v>4</v>
      </c>
      <c r="C369" s="242" t="s">
        <v>279</v>
      </c>
      <c r="D369" s="242"/>
      <c r="E369" s="19">
        <v>1</v>
      </c>
      <c r="F369" s="19" t="s">
        <v>118</v>
      </c>
      <c r="G369" s="16">
        <f>F101</f>
        <v>19350.969829060788</v>
      </c>
      <c r="H369" s="176">
        <f t="shared" si="2"/>
        <v>12649.030170939212</v>
      </c>
      <c r="I369" s="176">
        <f>F102</f>
        <v>32000</v>
      </c>
      <c r="T369" s="19">
        <v>4</v>
      </c>
      <c r="U369" s="242" t="s">
        <v>279</v>
      </c>
      <c r="V369" s="242"/>
      <c r="W369" s="19">
        <v>1</v>
      </c>
      <c r="X369" s="19" t="s">
        <v>118</v>
      </c>
      <c r="Y369" s="16">
        <f>X101</f>
        <v>29930.679384238832</v>
      </c>
      <c r="Z369" s="176">
        <f t="shared" si="3"/>
        <v>19069.320615761168</v>
      </c>
      <c r="AA369" s="176">
        <f>X102</f>
        <v>49000</v>
      </c>
    </row>
    <row r="370" spans="2:27" x14ac:dyDescent="0.45">
      <c r="B370" s="19">
        <v>5</v>
      </c>
      <c r="C370" s="242" t="s">
        <v>280</v>
      </c>
      <c r="D370" s="242"/>
      <c r="E370" s="19">
        <v>1</v>
      </c>
      <c r="F370" s="19" t="s">
        <v>118</v>
      </c>
      <c r="G370" s="16">
        <f>L62</f>
        <v>19750.954342130542</v>
      </c>
      <c r="H370" s="176">
        <f t="shared" si="2"/>
        <v>12249.045657869458</v>
      </c>
      <c r="I370" s="176">
        <f>L63</f>
        <v>32000</v>
      </c>
      <c r="T370" s="19">
        <v>5</v>
      </c>
      <c r="U370" s="242" t="s">
        <v>280</v>
      </c>
      <c r="V370" s="242"/>
      <c r="W370" s="19">
        <v>1</v>
      </c>
      <c r="X370" s="19" t="s">
        <v>118</v>
      </c>
      <c r="Y370" s="16">
        <f>AD62</f>
        <v>30330.663897308586</v>
      </c>
      <c r="Z370" s="176">
        <f t="shared" si="3"/>
        <v>18669.336102691414</v>
      </c>
      <c r="AA370" s="176">
        <f>AD63</f>
        <v>49000</v>
      </c>
    </row>
    <row r="371" spans="2:27" x14ac:dyDescent="0.45">
      <c r="B371" s="19">
        <v>6</v>
      </c>
      <c r="C371" s="242" t="s">
        <v>281</v>
      </c>
      <c r="D371" s="242"/>
      <c r="E371" s="19">
        <v>1</v>
      </c>
      <c r="F371" s="19" t="s">
        <v>118</v>
      </c>
      <c r="G371" s="16">
        <f>L75</f>
        <v>19748.708277052738</v>
      </c>
      <c r="H371" s="176">
        <f t="shared" si="2"/>
        <v>12251.291722947262</v>
      </c>
      <c r="I371" s="176">
        <f>L76</f>
        <v>32000</v>
      </c>
      <c r="T371" s="19">
        <v>6</v>
      </c>
      <c r="U371" s="242" t="s">
        <v>281</v>
      </c>
      <c r="V371" s="242"/>
      <c r="W371" s="19">
        <v>1</v>
      </c>
      <c r="X371" s="19" t="s">
        <v>118</v>
      </c>
      <c r="Y371" s="16">
        <f>AD75</f>
        <v>30328.417832230782</v>
      </c>
      <c r="Z371" s="176">
        <f t="shared" si="3"/>
        <v>18671.582167769218</v>
      </c>
      <c r="AA371" s="176">
        <f>AD76</f>
        <v>49000</v>
      </c>
    </row>
    <row r="372" spans="2:27" x14ac:dyDescent="0.45">
      <c r="B372" s="19">
        <v>7</v>
      </c>
      <c r="C372" s="242" t="s">
        <v>282</v>
      </c>
      <c r="D372" s="242"/>
      <c r="E372" s="19">
        <v>1</v>
      </c>
      <c r="F372" s="19" t="s">
        <v>118</v>
      </c>
      <c r="G372" s="16">
        <f>L88</f>
        <v>19252.01101899214</v>
      </c>
      <c r="H372" s="176">
        <f t="shared" si="2"/>
        <v>12747.98898100786</v>
      </c>
      <c r="I372" s="176">
        <f>L89</f>
        <v>32000</v>
      </c>
      <c r="T372" s="19">
        <v>7</v>
      </c>
      <c r="U372" s="242" t="s">
        <v>282</v>
      </c>
      <c r="V372" s="242"/>
      <c r="W372" s="19">
        <v>1</v>
      </c>
      <c r="X372" s="19" t="s">
        <v>118</v>
      </c>
      <c r="Y372" s="16">
        <f>AD88</f>
        <v>29831.720574170184</v>
      </c>
      <c r="Z372" s="176">
        <f t="shared" si="3"/>
        <v>19168.279425829816</v>
      </c>
      <c r="AA372" s="176">
        <f>AD89</f>
        <v>49000</v>
      </c>
    </row>
    <row r="373" spans="2:27" x14ac:dyDescent="0.45">
      <c r="B373" s="19">
        <v>8</v>
      </c>
      <c r="C373" s="242" t="s">
        <v>283</v>
      </c>
      <c r="D373" s="242"/>
      <c r="E373" s="19">
        <v>1</v>
      </c>
      <c r="F373" s="19" t="s">
        <v>118</v>
      </c>
      <c r="G373" s="16">
        <f>L101</f>
        <v>19900.058022383808</v>
      </c>
      <c r="H373" s="176">
        <f t="shared" si="2"/>
        <v>12099.941977616192</v>
      </c>
      <c r="I373" s="176">
        <f>L102</f>
        <v>32000</v>
      </c>
      <c r="T373" s="19">
        <v>8</v>
      </c>
      <c r="U373" s="242" t="s">
        <v>283</v>
      </c>
      <c r="V373" s="242"/>
      <c r="W373" s="19">
        <v>1</v>
      </c>
      <c r="X373" s="19" t="s">
        <v>118</v>
      </c>
      <c r="Y373" s="16">
        <f>AD101</f>
        <v>30479.767577561852</v>
      </c>
      <c r="Z373" s="176">
        <f t="shared" si="3"/>
        <v>18520.232422438148</v>
      </c>
      <c r="AA373" s="176">
        <f>AD102</f>
        <v>49000</v>
      </c>
    </row>
    <row r="374" spans="2:27" x14ac:dyDescent="0.45">
      <c r="B374" s="19">
        <v>9</v>
      </c>
      <c r="C374" s="242" t="s">
        <v>284</v>
      </c>
      <c r="D374" s="242"/>
      <c r="E374" s="19">
        <v>1</v>
      </c>
      <c r="F374" s="19" t="s">
        <v>118</v>
      </c>
      <c r="G374" s="16">
        <f>R62</f>
        <v>19401.114699245405</v>
      </c>
      <c r="H374" s="176">
        <f t="shared" si="2"/>
        <v>12598.885300754595</v>
      </c>
      <c r="I374" s="176">
        <f>R63</f>
        <v>32000</v>
      </c>
      <c r="T374" s="19">
        <v>9</v>
      </c>
      <c r="U374" s="242" t="s">
        <v>284</v>
      </c>
      <c r="V374" s="242"/>
      <c r="W374" s="19">
        <v>1</v>
      </c>
      <c r="X374" s="19" t="s">
        <v>118</v>
      </c>
      <c r="Y374" s="16">
        <f>AJ62</f>
        <v>29980.824254423449</v>
      </c>
      <c r="Z374" s="176">
        <f t="shared" si="3"/>
        <v>19019.175745576551</v>
      </c>
      <c r="AA374" s="176">
        <f>AJ63</f>
        <v>49000</v>
      </c>
    </row>
    <row r="375" spans="2:27" x14ac:dyDescent="0.45">
      <c r="B375" s="19">
        <v>10</v>
      </c>
      <c r="C375" s="128" t="s">
        <v>317</v>
      </c>
      <c r="D375" s="128"/>
      <c r="E375" s="19">
        <v>1</v>
      </c>
      <c r="F375" s="19" t="s">
        <v>118</v>
      </c>
      <c r="G375" s="16">
        <f>R75</f>
        <v>19401.114699245405</v>
      </c>
      <c r="H375" s="176">
        <f t="shared" si="2"/>
        <v>12598.885300754595</v>
      </c>
      <c r="I375" s="176">
        <f>R76</f>
        <v>32000</v>
      </c>
      <c r="T375" s="19">
        <v>10</v>
      </c>
      <c r="U375" s="128" t="s">
        <v>317</v>
      </c>
      <c r="V375" s="128"/>
      <c r="W375" s="19">
        <v>1</v>
      </c>
      <c r="X375" s="19" t="s">
        <v>118</v>
      </c>
      <c r="Y375" s="16">
        <f>AJ75</f>
        <v>29980.824254423449</v>
      </c>
      <c r="Z375" s="176">
        <f t="shared" si="3"/>
        <v>19019.175745576551</v>
      </c>
      <c r="AA375" s="176">
        <f>AJ76</f>
        <v>49000</v>
      </c>
    </row>
    <row r="377" spans="2:27" x14ac:dyDescent="0.45">
      <c r="B377" s="2" t="s">
        <v>320</v>
      </c>
      <c r="T377" s="2" t="s">
        <v>327</v>
      </c>
    </row>
    <row r="378" spans="2:27" x14ac:dyDescent="0.45">
      <c r="B378" s="122" t="s">
        <v>0</v>
      </c>
      <c r="C378" s="244" t="s">
        <v>125</v>
      </c>
      <c r="D378" s="244"/>
      <c r="E378" s="122" t="s">
        <v>34</v>
      </c>
      <c r="F378" s="122" t="s">
        <v>50</v>
      </c>
      <c r="G378" s="123" t="s">
        <v>126</v>
      </c>
      <c r="H378" s="124" t="s">
        <v>119</v>
      </c>
      <c r="I378" s="137" t="s">
        <v>127</v>
      </c>
      <c r="T378" s="122" t="s">
        <v>0</v>
      </c>
      <c r="U378" s="244" t="s">
        <v>125</v>
      </c>
      <c r="V378" s="244"/>
      <c r="W378" s="122" t="s">
        <v>34</v>
      </c>
      <c r="X378" s="122" t="s">
        <v>50</v>
      </c>
      <c r="Y378" s="123" t="s">
        <v>126</v>
      </c>
      <c r="Z378" s="124" t="s">
        <v>119</v>
      </c>
      <c r="AA378" s="137" t="s">
        <v>127</v>
      </c>
    </row>
    <row r="379" spans="2:27" x14ac:dyDescent="0.45">
      <c r="B379" s="19">
        <v>1</v>
      </c>
      <c r="C379" s="242" t="s">
        <v>276</v>
      </c>
      <c r="D379" s="242"/>
      <c r="E379" s="19">
        <v>1</v>
      </c>
      <c r="F379" s="19" t="s">
        <v>118</v>
      </c>
      <c r="G379" s="16">
        <f>F115</f>
        <v>19669.775528080241</v>
      </c>
      <c r="H379" s="176">
        <f>I379-G379</f>
        <v>12330.224471919759</v>
      </c>
      <c r="I379" s="176">
        <f>F116</f>
        <v>32000</v>
      </c>
      <c r="T379" s="19">
        <v>1</v>
      </c>
      <c r="U379" s="242" t="s">
        <v>276</v>
      </c>
      <c r="V379" s="242"/>
      <c r="W379" s="19">
        <v>1</v>
      </c>
      <c r="X379" s="19" t="s">
        <v>118</v>
      </c>
      <c r="Y379" s="16">
        <f>X115</f>
        <v>30220.697204470409</v>
      </c>
      <c r="Z379" s="176">
        <f>AA379-Y379</f>
        <v>18779.302795529591</v>
      </c>
      <c r="AA379" s="176">
        <f>X116</f>
        <v>49000</v>
      </c>
    </row>
    <row r="380" spans="2:27" x14ac:dyDescent="0.45">
      <c r="B380" s="19">
        <v>2</v>
      </c>
      <c r="C380" s="242" t="s">
        <v>277</v>
      </c>
      <c r="D380" s="242"/>
      <c r="E380" s="19">
        <v>1</v>
      </c>
      <c r="F380" s="19" t="s">
        <v>118</v>
      </c>
      <c r="G380" s="16">
        <f>F128</f>
        <v>19821.125273411311</v>
      </c>
      <c r="H380" s="176">
        <f t="shared" ref="H380:H388" si="4">I380-G380</f>
        <v>12178.874726588689</v>
      </c>
      <c r="I380" s="176">
        <f>F129</f>
        <v>32000</v>
      </c>
      <c r="T380" s="19">
        <v>2</v>
      </c>
      <c r="U380" s="242" t="s">
        <v>277</v>
      </c>
      <c r="V380" s="242"/>
      <c r="W380" s="19">
        <v>1</v>
      </c>
      <c r="X380" s="19" t="s">
        <v>118</v>
      </c>
      <c r="Y380" s="16">
        <f>X128</f>
        <v>30372.046949801479</v>
      </c>
      <c r="Z380" s="176">
        <f t="shared" ref="Z380:Z388" si="5">AA380-Y380</f>
        <v>18627.953050198521</v>
      </c>
      <c r="AA380" s="176">
        <f>X129</f>
        <v>49000</v>
      </c>
    </row>
    <row r="381" spans="2:27" x14ac:dyDescent="0.45">
      <c r="B381" s="19">
        <v>3</v>
      </c>
      <c r="C381" s="242" t="s">
        <v>278</v>
      </c>
      <c r="D381" s="242"/>
      <c r="E381" s="19">
        <v>1</v>
      </c>
      <c r="F381" s="19" t="s">
        <v>118</v>
      </c>
      <c r="G381" s="16">
        <f>F141</f>
        <v>19818.879208333507</v>
      </c>
      <c r="H381" s="176">
        <f t="shared" si="4"/>
        <v>12181.120791666493</v>
      </c>
      <c r="I381" s="176">
        <f>F142</f>
        <v>32000</v>
      </c>
      <c r="T381" s="19">
        <v>3</v>
      </c>
      <c r="U381" s="242" t="s">
        <v>278</v>
      </c>
      <c r="V381" s="242"/>
      <c r="W381" s="19">
        <v>1</v>
      </c>
      <c r="X381" s="19" t="s">
        <v>118</v>
      </c>
      <c r="Y381" s="16">
        <f>X141</f>
        <v>30369.800884723674</v>
      </c>
      <c r="Z381" s="176">
        <f t="shared" si="5"/>
        <v>18630.199115276326</v>
      </c>
      <c r="AA381" s="176">
        <f>X142</f>
        <v>49000</v>
      </c>
    </row>
    <row r="382" spans="2:27" x14ac:dyDescent="0.45">
      <c r="B382" s="19">
        <v>4</v>
      </c>
      <c r="C382" s="242" t="s">
        <v>279</v>
      </c>
      <c r="D382" s="242"/>
      <c r="E382" s="19">
        <v>1</v>
      </c>
      <c r="F382" s="19" t="s">
        <v>118</v>
      </c>
      <c r="G382" s="16">
        <f>F154</f>
        <v>19322.181950272909</v>
      </c>
      <c r="H382" s="176">
        <f t="shared" si="4"/>
        <v>12677.818049727091</v>
      </c>
      <c r="I382" s="176">
        <f>F142</f>
        <v>32000</v>
      </c>
      <c r="T382" s="19">
        <v>4</v>
      </c>
      <c r="U382" s="242" t="s">
        <v>279</v>
      </c>
      <c r="V382" s="242"/>
      <c r="W382" s="19">
        <v>1</v>
      </c>
      <c r="X382" s="19" t="s">
        <v>118</v>
      </c>
      <c r="Y382" s="16">
        <f>X154</f>
        <v>29873.103626663076</v>
      </c>
      <c r="Z382" s="176">
        <f t="shared" si="5"/>
        <v>19126.896373336924</v>
      </c>
      <c r="AA382" s="176">
        <f>X142</f>
        <v>49000</v>
      </c>
    </row>
    <row r="383" spans="2:27" x14ac:dyDescent="0.45">
      <c r="B383" s="19">
        <v>5</v>
      </c>
      <c r="C383" s="242" t="s">
        <v>280</v>
      </c>
      <c r="D383" s="242"/>
      <c r="E383" s="19">
        <v>1</v>
      </c>
      <c r="F383" s="19" t="s">
        <v>118</v>
      </c>
      <c r="G383" s="16">
        <f>L115</f>
        <v>19722.166463342663</v>
      </c>
      <c r="H383" s="176">
        <f t="shared" si="4"/>
        <v>12277.833536657337</v>
      </c>
      <c r="I383" s="176">
        <f>L169</f>
        <v>32000</v>
      </c>
      <c r="T383" s="19">
        <v>5</v>
      </c>
      <c r="U383" s="242" t="s">
        <v>280</v>
      </c>
      <c r="V383" s="242"/>
      <c r="W383" s="19">
        <v>1</v>
      </c>
      <c r="X383" s="19" t="s">
        <v>118</v>
      </c>
      <c r="Y383" s="16">
        <f>AD115</f>
        <v>30273.08813973283</v>
      </c>
      <c r="Z383" s="176">
        <f t="shared" si="5"/>
        <v>18726.91186026717</v>
      </c>
      <c r="AA383" s="176">
        <f>AD116</f>
        <v>49000</v>
      </c>
    </row>
    <row r="384" spans="2:27" x14ac:dyDescent="0.45">
      <c r="B384" s="19">
        <v>6</v>
      </c>
      <c r="C384" s="242" t="s">
        <v>281</v>
      </c>
      <c r="D384" s="242"/>
      <c r="E384" s="19">
        <v>1</v>
      </c>
      <c r="F384" s="19" t="s">
        <v>118</v>
      </c>
      <c r="G384" s="16">
        <f>L128</f>
        <v>19719.920398264858</v>
      </c>
      <c r="H384" s="176">
        <f t="shared" si="4"/>
        <v>12280.079601735142</v>
      </c>
      <c r="I384" s="176">
        <f>L129</f>
        <v>32000</v>
      </c>
      <c r="T384" s="19">
        <v>6</v>
      </c>
      <c r="U384" s="242" t="s">
        <v>281</v>
      </c>
      <c r="V384" s="242"/>
      <c r="W384" s="19">
        <v>1</v>
      </c>
      <c r="X384" s="19" t="s">
        <v>118</v>
      </c>
      <c r="Y384" s="16">
        <f>AD128</f>
        <v>30270.842074655025</v>
      </c>
      <c r="Z384" s="176">
        <f t="shared" si="5"/>
        <v>18729.157925344975</v>
      </c>
      <c r="AA384" s="176">
        <f>AD129</f>
        <v>49000</v>
      </c>
    </row>
    <row r="385" spans="2:27" x14ac:dyDescent="0.45">
      <c r="B385" s="19">
        <v>7</v>
      </c>
      <c r="C385" s="242" t="s">
        <v>282</v>
      </c>
      <c r="D385" s="242"/>
      <c r="E385" s="19">
        <v>1</v>
      </c>
      <c r="F385" s="19" t="s">
        <v>118</v>
      </c>
      <c r="G385" s="16">
        <f>L141</f>
        <v>19223.22314020426</v>
      </c>
      <c r="H385" s="176">
        <f t="shared" si="4"/>
        <v>12776.77685979574</v>
      </c>
      <c r="I385" s="176">
        <f>L142</f>
        <v>32000</v>
      </c>
      <c r="T385" s="19">
        <v>7</v>
      </c>
      <c r="U385" s="242" t="s">
        <v>282</v>
      </c>
      <c r="V385" s="242"/>
      <c r="W385" s="19">
        <v>1</v>
      </c>
      <c r="X385" s="19" t="s">
        <v>118</v>
      </c>
      <c r="Y385" s="16">
        <f>AD141</f>
        <v>29774.144816594428</v>
      </c>
      <c r="Z385" s="176">
        <f t="shared" si="5"/>
        <v>19225.855183405572</v>
      </c>
      <c r="AA385" s="176">
        <f>AD142</f>
        <v>49000</v>
      </c>
    </row>
    <row r="386" spans="2:27" x14ac:dyDescent="0.45">
      <c r="B386" s="19">
        <v>8</v>
      </c>
      <c r="C386" s="242" t="s">
        <v>283</v>
      </c>
      <c r="D386" s="242"/>
      <c r="E386" s="19">
        <v>1</v>
      </c>
      <c r="F386" s="19" t="s">
        <v>118</v>
      </c>
      <c r="G386" s="16">
        <f>L207</f>
        <v>19756.118628444412</v>
      </c>
      <c r="H386" s="176">
        <f t="shared" si="4"/>
        <v>12243.881371555588</v>
      </c>
      <c r="I386" s="176">
        <f>L155</f>
        <v>32000</v>
      </c>
      <c r="T386" s="19">
        <v>8</v>
      </c>
      <c r="U386" s="242" t="s">
        <v>283</v>
      </c>
      <c r="V386" s="242"/>
      <c r="W386" s="19">
        <v>1</v>
      </c>
      <c r="X386" s="19" t="s">
        <v>118</v>
      </c>
      <c r="Y386" s="16">
        <f>AD154</f>
        <v>30422.191819986096</v>
      </c>
      <c r="Z386" s="176">
        <f t="shared" si="5"/>
        <v>18577.808180013904</v>
      </c>
      <c r="AA386" s="176">
        <f>AD155</f>
        <v>49000</v>
      </c>
    </row>
    <row r="387" spans="2:27" x14ac:dyDescent="0.45">
      <c r="B387" s="19">
        <v>9</v>
      </c>
      <c r="C387" s="242" t="s">
        <v>284</v>
      </c>
      <c r="D387" s="242"/>
      <c r="E387" s="19">
        <v>1</v>
      </c>
      <c r="F387" s="19" t="s">
        <v>118</v>
      </c>
      <c r="G387" s="16">
        <f>R168</f>
        <v>19257.175305306009</v>
      </c>
      <c r="H387" s="176">
        <f t="shared" si="4"/>
        <v>12742.824694693991</v>
      </c>
      <c r="I387" s="176">
        <f>R116</f>
        <v>32000</v>
      </c>
      <c r="T387" s="19">
        <v>9</v>
      </c>
      <c r="U387" s="242" t="s">
        <v>284</v>
      </c>
      <c r="V387" s="242"/>
      <c r="W387" s="19">
        <v>1</v>
      </c>
      <c r="X387" s="19" t="s">
        <v>118</v>
      </c>
      <c r="Y387" s="16">
        <f>AJ115</f>
        <v>29923.248496847693</v>
      </c>
      <c r="Z387" s="176">
        <f t="shared" si="5"/>
        <v>19076.751503152307</v>
      </c>
      <c r="AA387" s="176">
        <f>AJ116</f>
        <v>49000</v>
      </c>
    </row>
    <row r="388" spans="2:27" x14ac:dyDescent="0.45">
      <c r="B388" s="19">
        <v>10</v>
      </c>
      <c r="C388" s="128" t="s">
        <v>317</v>
      </c>
      <c r="D388" s="128"/>
      <c r="E388" s="19">
        <v>1</v>
      </c>
      <c r="F388" s="19" t="s">
        <v>118</v>
      </c>
      <c r="G388" s="16">
        <f>R181</f>
        <v>19257.175305306009</v>
      </c>
      <c r="H388" s="176">
        <f t="shared" si="4"/>
        <v>12742.824694693991</v>
      </c>
      <c r="I388" s="176">
        <f>R129</f>
        <v>32000</v>
      </c>
      <c r="T388" s="19">
        <v>10</v>
      </c>
      <c r="U388" s="128" t="s">
        <v>317</v>
      </c>
      <c r="V388" s="128"/>
      <c r="W388" s="19">
        <v>1</v>
      </c>
      <c r="X388" s="19" t="s">
        <v>118</v>
      </c>
      <c r="Y388" s="16">
        <f>AJ128</f>
        <v>29923.248496847693</v>
      </c>
      <c r="Z388" s="176">
        <f t="shared" si="5"/>
        <v>19076.751503152307</v>
      </c>
      <c r="AA388" s="176">
        <f>AJ129</f>
        <v>49000</v>
      </c>
    </row>
    <row r="390" spans="2:27" x14ac:dyDescent="0.45">
      <c r="B390" s="2" t="s">
        <v>321</v>
      </c>
      <c r="T390" s="2" t="s">
        <v>328</v>
      </c>
    </row>
    <row r="391" spans="2:27" x14ac:dyDescent="0.45">
      <c r="B391" s="122" t="s">
        <v>0</v>
      </c>
      <c r="C391" s="244" t="s">
        <v>125</v>
      </c>
      <c r="D391" s="244"/>
      <c r="E391" s="122" t="s">
        <v>34</v>
      </c>
      <c r="F391" s="122" t="s">
        <v>50</v>
      </c>
      <c r="G391" s="123" t="s">
        <v>126</v>
      </c>
      <c r="H391" s="124" t="s">
        <v>119</v>
      </c>
      <c r="I391" s="137" t="s">
        <v>127</v>
      </c>
      <c r="T391" s="122" t="s">
        <v>0</v>
      </c>
      <c r="U391" s="244" t="s">
        <v>125</v>
      </c>
      <c r="V391" s="244"/>
      <c r="W391" s="122" t="s">
        <v>34</v>
      </c>
      <c r="X391" s="122" t="s">
        <v>50</v>
      </c>
      <c r="Y391" s="123" t="s">
        <v>126</v>
      </c>
      <c r="Z391" s="124" t="s">
        <v>119</v>
      </c>
      <c r="AA391" s="137" t="s">
        <v>127</v>
      </c>
    </row>
    <row r="392" spans="2:27" x14ac:dyDescent="0.45">
      <c r="B392" s="19">
        <v>1</v>
      </c>
      <c r="C392" s="242" t="s">
        <v>276</v>
      </c>
      <c r="D392" s="242"/>
      <c r="E392" s="19">
        <v>1</v>
      </c>
      <c r="F392" s="19" t="s">
        <v>118</v>
      </c>
      <c r="G392" s="16">
        <f>F168</f>
        <v>19554.624012928729</v>
      </c>
      <c r="H392" s="176">
        <f>I392-G392</f>
        <v>12445.375987071271</v>
      </c>
      <c r="I392" s="176">
        <f>F169</f>
        <v>32000</v>
      </c>
      <c r="T392" s="19">
        <v>1</v>
      </c>
      <c r="U392" s="242" t="s">
        <v>276</v>
      </c>
      <c r="V392" s="242"/>
      <c r="W392" s="19">
        <v>1</v>
      </c>
      <c r="X392" s="19" t="s">
        <v>118</v>
      </c>
      <c r="Y392" s="16">
        <f>X168</f>
        <v>29990.394174167381</v>
      </c>
      <c r="Z392" s="176">
        <f t="shared" ref="Z392:Z401" si="6">AA392-Y392</f>
        <v>19009.605825832619</v>
      </c>
      <c r="AA392" s="176">
        <f>X169</f>
        <v>49000</v>
      </c>
    </row>
    <row r="393" spans="2:27" x14ac:dyDescent="0.45">
      <c r="B393" s="19">
        <v>2</v>
      </c>
      <c r="C393" s="242" t="s">
        <v>277</v>
      </c>
      <c r="D393" s="242"/>
      <c r="E393" s="19">
        <v>1</v>
      </c>
      <c r="F393" s="19" t="s">
        <v>118</v>
      </c>
      <c r="G393" s="16">
        <f>F181</f>
        <v>19705.973758259799</v>
      </c>
      <c r="H393" s="176">
        <f t="shared" ref="H393:H401" si="7">I393-G393</f>
        <v>12294.026241740201</v>
      </c>
      <c r="I393" s="176">
        <f>F182</f>
        <v>32000</v>
      </c>
      <c r="T393" s="19">
        <v>2</v>
      </c>
      <c r="U393" s="242" t="s">
        <v>277</v>
      </c>
      <c r="V393" s="242"/>
      <c r="W393" s="19">
        <v>1</v>
      </c>
      <c r="X393" s="19" t="s">
        <v>118</v>
      </c>
      <c r="Y393" s="16">
        <f>X181</f>
        <v>30141.743919498451</v>
      </c>
      <c r="Z393" s="176">
        <f t="shared" si="6"/>
        <v>18858.256080501549</v>
      </c>
      <c r="AA393" s="176">
        <f>X182</f>
        <v>49000</v>
      </c>
    </row>
    <row r="394" spans="2:27" x14ac:dyDescent="0.45">
      <c r="B394" s="19">
        <v>3</v>
      </c>
      <c r="C394" s="242" t="s">
        <v>278</v>
      </c>
      <c r="D394" s="242"/>
      <c r="E394" s="19">
        <v>1</v>
      </c>
      <c r="F394" s="19" t="s">
        <v>118</v>
      </c>
      <c r="G394" s="16">
        <f>F194</f>
        <v>19703.727693181994</v>
      </c>
      <c r="H394" s="176">
        <f t="shared" si="7"/>
        <v>12296.272306818006</v>
      </c>
      <c r="I394" s="176">
        <f>F195</f>
        <v>32000</v>
      </c>
      <c r="T394" s="19">
        <v>3</v>
      </c>
      <c r="U394" s="242" t="s">
        <v>278</v>
      </c>
      <c r="V394" s="242"/>
      <c r="W394" s="19">
        <v>1</v>
      </c>
      <c r="X394" s="19" t="s">
        <v>118</v>
      </c>
      <c r="Y394" s="16">
        <f>X194</f>
        <v>30139.497854420646</v>
      </c>
      <c r="Z394" s="176">
        <f t="shared" si="6"/>
        <v>18860.502145579354</v>
      </c>
      <c r="AA394" s="176">
        <f>X195</f>
        <v>49000</v>
      </c>
    </row>
    <row r="395" spans="2:27" x14ac:dyDescent="0.45">
      <c r="B395" s="19">
        <v>4</v>
      </c>
      <c r="C395" s="242" t="s">
        <v>279</v>
      </c>
      <c r="D395" s="242"/>
      <c r="E395" s="19">
        <v>1</v>
      </c>
      <c r="F395" s="19" t="s">
        <v>118</v>
      </c>
      <c r="G395" s="16">
        <f>F207</f>
        <v>19207.030435121396</v>
      </c>
      <c r="H395" s="176">
        <f t="shared" si="7"/>
        <v>12792.969564878604</v>
      </c>
      <c r="I395" s="176">
        <f>F208</f>
        <v>32000</v>
      </c>
      <c r="T395" s="19">
        <v>4</v>
      </c>
      <c r="U395" s="242" t="s">
        <v>279</v>
      </c>
      <c r="V395" s="242"/>
      <c r="W395" s="19">
        <v>1</v>
      </c>
      <c r="X395" s="19" t="s">
        <v>118</v>
      </c>
      <c r="Y395" s="16">
        <f>X207</f>
        <v>29642.800596360048</v>
      </c>
      <c r="Z395" s="176">
        <f t="shared" si="6"/>
        <v>19357.199403639952</v>
      </c>
      <c r="AA395" s="176">
        <f>X208</f>
        <v>49000</v>
      </c>
    </row>
    <row r="396" spans="2:27" x14ac:dyDescent="0.45">
      <c r="B396" s="19">
        <v>5</v>
      </c>
      <c r="C396" s="242" t="s">
        <v>280</v>
      </c>
      <c r="D396" s="242"/>
      <c r="E396" s="19">
        <v>1</v>
      </c>
      <c r="F396" s="19" t="s">
        <v>118</v>
      </c>
      <c r="G396" s="16">
        <f>L168</f>
        <v>19607.014948191147</v>
      </c>
      <c r="H396" s="176">
        <f t="shared" si="7"/>
        <v>12392.985051808853</v>
      </c>
      <c r="I396" s="176">
        <f>L169</f>
        <v>32000</v>
      </c>
      <c r="T396" s="19">
        <v>5</v>
      </c>
      <c r="U396" s="242" t="s">
        <v>280</v>
      </c>
      <c r="V396" s="242"/>
      <c r="W396" s="19">
        <v>1</v>
      </c>
      <c r="X396" s="19" t="s">
        <v>118</v>
      </c>
      <c r="Y396" s="16">
        <f>AD168</f>
        <v>30042.785109429802</v>
      </c>
      <c r="Z396" s="176">
        <f t="shared" si="6"/>
        <v>18957.214890570198</v>
      </c>
      <c r="AA396" s="176">
        <f>AD222</f>
        <v>49000</v>
      </c>
    </row>
    <row r="397" spans="2:27" x14ac:dyDescent="0.45">
      <c r="B397" s="19">
        <v>6</v>
      </c>
      <c r="C397" s="242" t="s">
        <v>281</v>
      </c>
      <c r="D397" s="242"/>
      <c r="E397" s="19">
        <v>1</v>
      </c>
      <c r="F397" s="19" t="s">
        <v>118</v>
      </c>
      <c r="G397" s="16">
        <f>L181</f>
        <v>19604.768883113342</v>
      </c>
      <c r="H397" s="176">
        <f t="shared" si="7"/>
        <v>12395.231116886658</v>
      </c>
      <c r="I397" s="176">
        <f>L182</f>
        <v>32000</v>
      </c>
      <c r="T397" s="19">
        <v>6</v>
      </c>
      <c r="U397" s="242" t="s">
        <v>281</v>
      </c>
      <c r="V397" s="242"/>
      <c r="W397" s="19">
        <v>1</v>
      </c>
      <c r="X397" s="19" t="s">
        <v>118</v>
      </c>
      <c r="Y397" s="16">
        <f>AD181</f>
        <v>30040.539044351997</v>
      </c>
      <c r="Z397" s="176">
        <f t="shared" si="6"/>
        <v>18959.460955648003</v>
      </c>
      <c r="AA397" s="176">
        <f>AD182</f>
        <v>49000</v>
      </c>
    </row>
    <row r="398" spans="2:27" x14ac:dyDescent="0.45">
      <c r="B398" s="19">
        <v>7</v>
      </c>
      <c r="C398" s="242" t="s">
        <v>282</v>
      </c>
      <c r="D398" s="242"/>
      <c r="E398" s="19">
        <v>1</v>
      </c>
      <c r="F398" s="19" t="s">
        <v>118</v>
      </c>
      <c r="G398" s="16">
        <f>L194</f>
        <v>19108.071625052744</v>
      </c>
      <c r="H398" s="176">
        <f t="shared" si="7"/>
        <v>12891.928374947256</v>
      </c>
      <c r="I398" s="176">
        <f>L195</f>
        <v>32000</v>
      </c>
      <c r="T398" s="19">
        <v>7</v>
      </c>
      <c r="U398" s="242" t="s">
        <v>282</v>
      </c>
      <c r="V398" s="242"/>
      <c r="W398" s="19">
        <v>1</v>
      </c>
      <c r="X398" s="19" t="s">
        <v>118</v>
      </c>
      <c r="Y398" s="16">
        <f>AD194</f>
        <v>29543.841786291399</v>
      </c>
      <c r="Z398" s="176">
        <f t="shared" si="6"/>
        <v>19456.158213708601</v>
      </c>
      <c r="AA398" s="176">
        <f>AD195</f>
        <v>49000</v>
      </c>
    </row>
    <row r="399" spans="2:27" x14ac:dyDescent="0.45">
      <c r="B399" s="19">
        <v>8</v>
      </c>
      <c r="C399" s="242" t="s">
        <v>283</v>
      </c>
      <c r="D399" s="242"/>
      <c r="E399" s="19">
        <v>1</v>
      </c>
      <c r="F399" s="19" t="s">
        <v>118</v>
      </c>
      <c r="G399" s="16">
        <f>L207</f>
        <v>19756.118628444412</v>
      </c>
      <c r="H399" s="176">
        <f t="shared" si="7"/>
        <v>12243.881371555588</v>
      </c>
      <c r="I399" s="176">
        <f>L208</f>
        <v>32000</v>
      </c>
      <c r="T399" s="19">
        <v>8</v>
      </c>
      <c r="U399" s="242" t="s">
        <v>283</v>
      </c>
      <c r="V399" s="242"/>
      <c r="W399" s="19">
        <v>1</v>
      </c>
      <c r="X399" s="19" t="s">
        <v>118</v>
      </c>
      <c r="Y399" s="16">
        <f>AD207</f>
        <v>30191.888789683067</v>
      </c>
      <c r="Z399" s="176">
        <f t="shared" si="6"/>
        <v>18808.111210316933</v>
      </c>
      <c r="AA399" s="176">
        <f>AD208</f>
        <v>49000</v>
      </c>
    </row>
    <row r="400" spans="2:27" x14ac:dyDescent="0.45">
      <c r="B400" s="19">
        <v>9</v>
      </c>
      <c r="C400" s="242" t="s">
        <v>284</v>
      </c>
      <c r="D400" s="242"/>
      <c r="E400" s="19">
        <v>1</v>
      </c>
      <c r="F400" s="19" t="s">
        <v>118</v>
      </c>
      <c r="G400" s="16">
        <f>R168</f>
        <v>19257.175305306009</v>
      </c>
      <c r="H400" s="176">
        <f t="shared" si="7"/>
        <v>12742.824694693991</v>
      </c>
      <c r="I400" s="176">
        <f>R169</f>
        <v>32000</v>
      </c>
      <c r="T400" s="19">
        <v>9</v>
      </c>
      <c r="U400" s="242" t="s">
        <v>284</v>
      </c>
      <c r="V400" s="242"/>
      <c r="W400" s="19">
        <v>1</v>
      </c>
      <c r="X400" s="19" t="s">
        <v>118</v>
      </c>
      <c r="Y400" s="16">
        <f>AJ168</f>
        <v>29692.945466544665</v>
      </c>
      <c r="Z400" s="176">
        <f t="shared" si="6"/>
        <v>19307.054533455335</v>
      </c>
      <c r="AA400" s="176">
        <f>AJ169</f>
        <v>49000</v>
      </c>
    </row>
    <row r="401" spans="2:27" x14ac:dyDescent="0.45">
      <c r="B401" s="19">
        <v>10</v>
      </c>
      <c r="C401" s="128" t="s">
        <v>317</v>
      </c>
      <c r="D401" s="128"/>
      <c r="E401" s="19">
        <v>1</v>
      </c>
      <c r="F401" s="19" t="s">
        <v>118</v>
      </c>
      <c r="G401" s="16">
        <f>R181</f>
        <v>19257.175305306009</v>
      </c>
      <c r="H401" s="176">
        <f t="shared" si="7"/>
        <v>12742.824694693991</v>
      </c>
      <c r="I401" s="176">
        <f>R182</f>
        <v>32000</v>
      </c>
      <c r="T401" s="19">
        <v>10</v>
      </c>
      <c r="U401" s="128" t="s">
        <v>317</v>
      </c>
      <c r="V401" s="128"/>
      <c r="W401" s="19">
        <v>1</v>
      </c>
      <c r="X401" s="19" t="s">
        <v>118</v>
      </c>
      <c r="Y401" s="16">
        <f>AJ181</f>
        <v>29692.945466544665</v>
      </c>
      <c r="Z401" s="176">
        <f t="shared" si="6"/>
        <v>19307.054533455335</v>
      </c>
      <c r="AA401" s="176">
        <f>AJ182</f>
        <v>49000</v>
      </c>
    </row>
    <row r="403" spans="2:27" x14ac:dyDescent="0.45">
      <c r="B403" s="2" t="s">
        <v>322</v>
      </c>
      <c r="T403" s="2" t="s">
        <v>329</v>
      </c>
    </row>
    <row r="404" spans="2:27" x14ac:dyDescent="0.45">
      <c r="B404" s="122" t="s">
        <v>0</v>
      </c>
      <c r="C404" s="244" t="s">
        <v>125</v>
      </c>
      <c r="D404" s="244"/>
      <c r="E404" s="122" t="s">
        <v>34</v>
      </c>
      <c r="F404" s="122" t="s">
        <v>50</v>
      </c>
      <c r="G404" s="123" t="s">
        <v>126</v>
      </c>
      <c r="H404" s="124" t="s">
        <v>119</v>
      </c>
      <c r="I404" s="137" t="s">
        <v>127</v>
      </c>
      <c r="T404" s="122" t="s">
        <v>0</v>
      </c>
      <c r="U404" s="244" t="s">
        <v>125</v>
      </c>
      <c r="V404" s="244"/>
      <c r="W404" s="122" t="s">
        <v>34</v>
      </c>
      <c r="X404" s="122" t="s">
        <v>50</v>
      </c>
      <c r="Y404" s="123" t="s">
        <v>126</v>
      </c>
      <c r="Z404" s="124" t="s">
        <v>119</v>
      </c>
      <c r="AA404" s="137" t="s">
        <v>127</v>
      </c>
    </row>
    <row r="405" spans="2:27" x14ac:dyDescent="0.45">
      <c r="B405" s="19">
        <v>1</v>
      </c>
      <c r="C405" s="242" t="s">
        <v>276</v>
      </c>
      <c r="D405" s="242"/>
      <c r="E405" s="19">
        <v>1</v>
      </c>
      <c r="F405" s="19" t="s">
        <v>118</v>
      </c>
      <c r="G405" s="16">
        <f>F221</f>
        <v>19612.199770504485</v>
      </c>
      <c r="H405" s="176">
        <f>I405-G405</f>
        <v>12387.800229495515</v>
      </c>
      <c r="I405" s="176">
        <f>F222</f>
        <v>32000</v>
      </c>
      <c r="T405" s="19">
        <v>1</v>
      </c>
      <c r="U405" s="242" t="s">
        <v>276</v>
      </c>
      <c r="V405" s="242"/>
      <c r="W405" s="19">
        <v>1</v>
      </c>
      <c r="X405" s="19" t="s">
        <v>118</v>
      </c>
      <c r="Y405" s="16">
        <f>X221</f>
        <v>30105.545689318893</v>
      </c>
      <c r="Z405" s="176">
        <f>AA406-Y405</f>
        <v>18894.454310681107</v>
      </c>
      <c r="AA405" s="176">
        <f>X222</f>
        <v>49000</v>
      </c>
    </row>
    <row r="406" spans="2:27" x14ac:dyDescent="0.45">
      <c r="B406" s="19">
        <v>2</v>
      </c>
      <c r="C406" s="242" t="s">
        <v>277</v>
      </c>
      <c r="D406" s="242"/>
      <c r="E406" s="19">
        <v>1</v>
      </c>
      <c r="F406" s="19" t="s">
        <v>118</v>
      </c>
      <c r="G406" s="16">
        <f>F234</f>
        <v>19763.549515835555</v>
      </c>
      <c r="H406" s="176">
        <f t="shared" ref="H406:H414" si="8">I406-G406</f>
        <v>12236.450484164445</v>
      </c>
      <c r="I406" s="176">
        <f>F235</f>
        <v>32000</v>
      </c>
      <c r="T406" s="19">
        <v>2</v>
      </c>
      <c r="U406" s="242" t="s">
        <v>277</v>
      </c>
      <c r="V406" s="242"/>
      <c r="W406" s="19">
        <v>1</v>
      </c>
      <c r="X406" s="19" t="s">
        <v>118</v>
      </c>
      <c r="Y406" s="16">
        <f>X234</f>
        <v>30256.895434649963</v>
      </c>
      <c r="Z406" s="176">
        <f t="shared" ref="Z406:Z414" si="9">AA407-Y406</f>
        <v>18743.104565350037</v>
      </c>
      <c r="AA406" s="176">
        <f>X235</f>
        <v>49000</v>
      </c>
    </row>
    <row r="407" spans="2:27" x14ac:dyDescent="0.45">
      <c r="B407" s="19">
        <v>3</v>
      </c>
      <c r="C407" s="242" t="s">
        <v>278</v>
      </c>
      <c r="D407" s="242"/>
      <c r="E407" s="19">
        <v>1</v>
      </c>
      <c r="F407" s="19" t="s">
        <v>118</v>
      </c>
      <c r="G407" s="16">
        <f>F247</f>
        <v>19761.30345075775</v>
      </c>
      <c r="H407" s="176">
        <f t="shared" si="8"/>
        <v>12238.69654924225</v>
      </c>
      <c r="I407" s="176">
        <f>F248</f>
        <v>32000</v>
      </c>
      <c r="T407" s="19">
        <v>3</v>
      </c>
      <c r="U407" s="242" t="s">
        <v>278</v>
      </c>
      <c r="V407" s="242"/>
      <c r="W407" s="19">
        <v>1</v>
      </c>
      <c r="X407" s="19" t="s">
        <v>118</v>
      </c>
      <c r="Y407" s="16">
        <f>X247</f>
        <v>30254.649369572158</v>
      </c>
      <c r="Z407" s="176">
        <f t="shared" si="9"/>
        <v>18745.350630427842</v>
      </c>
      <c r="AA407" s="176">
        <f>X248</f>
        <v>49000</v>
      </c>
    </row>
    <row r="408" spans="2:27" x14ac:dyDescent="0.45">
      <c r="B408" s="19">
        <v>4</v>
      </c>
      <c r="C408" s="242" t="s">
        <v>279</v>
      </c>
      <c r="D408" s="242"/>
      <c r="E408" s="19">
        <v>1</v>
      </c>
      <c r="F408" s="19" t="s">
        <v>118</v>
      </c>
      <c r="G408" s="16">
        <f>F260</f>
        <v>19264.606192697152</v>
      </c>
      <c r="H408" s="176">
        <f t="shared" si="8"/>
        <v>12735.393807302848</v>
      </c>
      <c r="I408" s="176">
        <f>F261</f>
        <v>32000</v>
      </c>
      <c r="T408" s="19">
        <v>4</v>
      </c>
      <c r="U408" s="242" t="s">
        <v>279</v>
      </c>
      <c r="V408" s="242"/>
      <c r="W408" s="19">
        <v>1</v>
      </c>
      <c r="X408" s="19" t="s">
        <v>118</v>
      </c>
      <c r="Y408" s="16">
        <f>X260</f>
        <v>29757.95211151156</v>
      </c>
      <c r="Z408" s="176">
        <f t="shared" si="9"/>
        <v>19242.04788848844</v>
      </c>
      <c r="AA408" s="176">
        <f>X261</f>
        <v>49000</v>
      </c>
    </row>
    <row r="409" spans="2:27" x14ac:dyDescent="0.45">
      <c r="B409" s="19">
        <v>5</v>
      </c>
      <c r="C409" s="242" t="s">
        <v>280</v>
      </c>
      <c r="D409" s="242"/>
      <c r="E409" s="19">
        <v>1</v>
      </c>
      <c r="F409" s="19" t="s">
        <v>118</v>
      </c>
      <c r="G409" s="16">
        <f>L221</f>
        <v>19664.590705766906</v>
      </c>
      <c r="H409" s="176">
        <f t="shared" si="8"/>
        <v>12335.409294233094</v>
      </c>
      <c r="I409" s="176">
        <f>L222</f>
        <v>32000</v>
      </c>
      <c r="T409" s="19">
        <v>5</v>
      </c>
      <c r="U409" s="242" t="s">
        <v>280</v>
      </c>
      <c r="V409" s="242"/>
      <c r="W409" s="19">
        <v>1</v>
      </c>
      <c r="X409" s="19" t="s">
        <v>118</v>
      </c>
      <c r="Y409" s="16">
        <f>AD221</f>
        <v>30157.936624581314</v>
      </c>
      <c r="Z409" s="176">
        <f t="shared" si="9"/>
        <v>18842.063375418686</v>
      </c>
      <c r="AA409" s="176">
        <f>AD222</f>
        <v>49000</v>
      </c>
    </row>
    <row r="410" spans="2:27" x14ac:dyDescent="0.45">
      <c r="B410" s="19">
        <v>6</v>
      </c>
      <c r="C410" s="242" t="s">
        <v>281</v>
      </c>
      <c r="D410" s="242"/>
      <c r="E410" s="19">
        <v>1</v>
      </c>
      <c r="F410" s="19" t="s">
        <v>118</v>
      </c>
      <c r="G410" s="16">
        <f>L234</f>
        <v>19662.344640689102</v>
      </c>
      <c r="H410" s="176">
        <f t="shared" si="8"/>
        <v>12337.655359310898</v>
      </c>
      <c r="I410" s="176">
        <f>L235</f>
        <v>32000</v>
      </c>
      <c r="T410" s="19">
        <v>6</v>
      </c>
      <c r="U410" s="242" t="s">
        <v>281</v>
      </c>
      <c r="V410" s="242"/>
      <c r="W410" s="19">
        <v>1</v>
      </c>
      <c r="X410" s="19" t="s">
        <v>118</v>
      </c>
      <c r="Y410" s="16">
        <f>AD234</f>
        <v>30155.69055950351</v>
      </c>
      <c r="Z410" s="176">
        <f t="shared" si="9"/>
        <v>18844.30944049649</v>
      </c>
      <c r="AA410" s="176">
        <f>AD235</f>
        <v>49000</v>
      </c>
    </row>
    <row r="411" spans="2:27" x14ac:dyDescent="0.45">
      <c r="B411" s="19">
        <v>7</v>
      </c>
      <c r="C411" s="242" t="s">
        <v>282</v>
      </c>
      <c r="D411" s="242"/>
      <c r="E411" s="19">
        <v>1</v>
      </c>
      <c r="F411" s="19" t="s">
        <v>118</v>
      </c>
      <c r="G411" s="16">
        <f>L247</f>
        <v>19165.647382628504</v>
      </c>
      <c r="H411" s="176">
        <f t="shared" si="8"/>
        <v>12834.352617371496</v>
      </c>
      <c r="I411" s="176">
        <f>L248</f>
        <v>32000</v>
      </c>
      <c r="T411" s="19">
        <v>7</v>
      </c>
      <c r="U411" s="242" t="s">
        <v>282</v>
      </c>
      <c r="V411" s="242"/>
      <c r="W411" s="19">
        <v>1</v>
      </c>
      <c r="X411" s="19" t="s">
        <v>118</v>
      </c>
      <c r="Y411" s="16">
        <f>AD247</f>
        <v>29658.993301442912</v>
      </c>
      <c r="Z411" s="176">
        <f t="shared" si="9"/>
        <v>19341.006698557088</v>
      </c>
      <c r="AA411" s="176">
        <f>AD248</f>
        <v>49000</v>
      </c>
    </row>
    <row r="412" spans="2:27" x14ac:dyDescent="0.45">
      <c r="B412" s="19">
        <v>8</v>
      </c>
      <c r="C412" s="242" t="s">
        <v>283</v>
      </c>
      <c r="D412" s="242"/>
      <c r="E412" s="19">
        <v>1</v>
      </c>
      <c r="F412" s="19" t="s">
        <v>118</v>
      </c>
      <c r="G412" s="16">
        <f>L260</f>
        <v>19813.694386020172</v>
      </c>
      <c r="H412" s="176">
        <f t="shared" si="8"/>
        <v>12186.305613979828</v>
      </c>
      <c r="I412" s="176">
        <f>L248</f>
        <v>32000</v>
      </c>
      <c r="T412" s="19">
        <v>8</v>
      </c>
      <c r="U412" s="242" t="s">
        <v>283</v>
      </c>
      <c r="V412" s="242"/>
      <c r="W412" s="19">
        <v>1</v>
      </c>
      <c r="X412" s="19" t="s">
        <v>118</v>
      </c>
      <c r="Y412" s="16">
        <f>AD260</f>
        <v>30307.04030483458</v>
      </c>
      <c r="Z412" s="176">
        <f t="shared" si="9"/>
        <v>18692.95969516542</v>
      </c>
      <c r="AA412" s="176">
        <f>AD261</f>
        <v>49000</v>
      </c>
    </row>
    <row r="413" spans="2:27" x14ac:dyDescent="0.45">
      <c r="B413" s="19">
        <v>9</v>
      </c>
      <c r="C413" s="242" t="s">
        <v>284</v>
      </c>
      <c r="D413" s="242"/>
      <c r="E413" s="19">
        <v>1</v>
      </c>
      <c r="F413" s="19" t="s">
        <v>118</v>
      </c>
      <c r="G413" s="16">
        <f>R221</f>
        <v>19314.751062881769</v>
      </c>
      <c r="H413" s="176">
        <f t="shared" si="8"/>
        <v>12685.248937118231</v>
      </c>
      <c r="I413" s="176">
        <f>R222</f>
        <v>32000</v>
      </c>
      <c r="T413" s="19">
        <v>9</v>
      </c>
      <c r="U413" s="242" t="s">
        <v>284</v>
      </c>
      <c r="V413" s="242"/>
      <c r="W413" s="19">
        <v>1</v>
      </c>
      <c r="X413" s="19" t="s">
        <v>118</v>
      </c>
      <c r="Y413" s="16">
        <f>AJ221</f>
        <v>29808.096981696177</v>
      </c>
      <c r="Z413" s="176">
        <f t="shared" si="9"/>
        <v>19191.903018303823</v>
      </c>
      <c r="AA413" s="176">
        <f>AJ222</f>
        <v>49000</v>
      </c>
    </row>
    <row r="414" spans="2:27" x14ac:dyDescent="0.45">
      <c r="B414" s="19">
        <v>10</v>
      </c>
      <c r="C414" s="128" t="s">
        <v>317</v>
      </c>
      <c r="D414" s="128"/>
      <c r="E414" s="19">
        <v>1</v>
      </c>
      <c r="F414" s="19" t="s">
        <v>118</v>
      </c>
      <c r="G414" s="16">
        <f>R234</f>
        <v>19314.751062881769</v>
      </c>
      <c r="H414" s="176">
        <f t="shared" si="8"/>
        <v>12685.248937118231</v>
      </c>
      <c r="I414" s="176">
        <f>R235</f>
        <v>32000</v>
      </c>
      <c r="T414" s="19">
        <v>10</v>
      </c>
      <c r="U414" s="128" t="s">
        <v>317</v>
      </c>
      <c r="V414" s="128"/>
      <c r="W414" s="19">
        <v>1</v>
      </c>
      <c r="X414" s="19" t="s">
        <v>118</v>
      </c>
      <c r="Y414" s="16">
        <f>AJ234</f>
        <v>29808.096981696177</v>
      </c>
      <c r="Z414" s="176">
        <f t="shared" si="9"/>
        <v>-29808.096981696177</v>
      </c>
      <c r="AA414" s="176">
        <f>AJ235</f>
        <v>49000</v>
      </c>
    </row>
    <row r="416" spans="2:27" x14ac:dyDescent="0.45">
      <c r="B416" s="2" t="s">
        <v>323</v>
      </c>
      <c r="T416" s="2" t="s">
        <v>330</v>
      </c>
    </row>
    <row r="417" spans="2:27" x14ac:dyDescent="0.45">
      <c r="B417" s="122" t="s">
        <v>0</v>
      </c>
      <c r="C417" s="244" t="s">
        <v>125</v>
      </c>
      <c r="D417" s="244"/>
      <c r="E417" s="122" t="s">
        <v>34</v>
      </c>
      <c r="F417" s="122" t="s">
        <v>50</v>
      </c>
      <c r="G417" s="123" t="s">
        <v>126</v>
      </c>
      <c r="H417" s="124" t="s">
        <v>119</v>
      </c>
      <c r="I417" s="137" t="s">
        <v>127</v>
      </c>
      <c r="T417" s="122" t="s">
        <v>0</v>
      </c>
      <c r="U417" s="244" t="s">
        <v>125</v>
      </c>
      <c r="V417" s="244"/>
      <c r="W417" s="122" t="s">
        <v>34</v>
      </c>
      <c r="X417" s="122" t="s">
        <v>50</v>
      </c>
      <c r="Y417" s="123" t="s">
        <v>126</v>
      </c>
      <c r="Z417" s="124" t="s">
        <v>119</v>
      </c>
      <c r="AA417" s="137" t="s">
        <v>127</v>
      </c>
    </row>
    <row r="418" spans="2:27" x14ac:dyDescent="0.45">
      <c r="B418" s="19">
        <v>1</v>
      </c>
      <c r="C418" s="242" t="s">
        <v>276</v>
      </c>
      <c r="D418" s="242"/>
      <c r="E418" s="19">
        <v>1</v>
      </c>
      <c r="F418" s="19" t="s">
        <v>118</v>
      </c>
      <c r="G418" s="16">
        <f>F274</f>
        <v>19627.112051206241</v>
      </c>
      <c r="H418" s="176">
        <f>I418-G418</f>
        <v>12372.887948793759</v>
      </c>
      <c r="I418" s="176">
        <f>F275</f>
        <v>32000</v>
      </c>
      <c r="T418" s="19">
        <v>1</v>
      </c>
      <c r="U418" s="242" t="s">
        <v>276</v>
      </c>
      <c r="V418" s="242"/>
      <c r="W418" s="19">
        <v>1</v>
      </c>
      <c r="X418" s="19" t="s">
        <v>118</v>
      </c>
      <c r="Y418" s="16">
        <f>X274</f>
        <v>30135.370250722404</v>
      </c>
      <c r="Z418" s="176">
        <f>AA418-Y418</f>
        <v>18864.629749277596</v>
      </c>
      <c r="AA418" s="176">
        <f>X275</f>
        <v>49000</v>
      </c>
    </row>
    <row r="419" spans="2:27" x14ac:dyDescent="0.45">
      <c r="B419" s="19">
        <v>2</v>
      </c>
      <c r="C419" s="242" t="s">
        <v>277</v>
      </c>
      <c r="D419" s="242"/>
      <c r="E419" s="19">
        <v>1</v>
      </c>
      <c r="F419" s="19" t="s">
        <v>118</v>
      </c>
      <c r="G419" s="16">
        <f>F287</f>
        <v>19778.461796537311</v>
      </c>
      <c r="H419" s="176">
        <f t="shared" ref="H419:H427" si="10">I419-G419</f>
        <v>12221.538203462689</v>
      </c>
      <c r="I419" s="176">
        <f>F288</f>
        <v>32000</v>
      </c>
      <c r="T419" s="19">
        <v>2</v>
      </c>
      <c r="U419" s="242" t="s">
        <v>277</v>
      </c>
      <c r="V419" s="242"/>
      <c r="W419" s="19">
        <v>1</v>
      </c>
      <c r="X419" s="19" t="s">
        <v>118</v>
      </c>
      <c r="Y419" s="16">
        <f>X287</f>
        <v>30286.719996053474</v>
      </c>
      <c r="Z419" s="176">
        <f t="shared" ref="Z419:Z427" si="11">AA419-Y419</f>
        <v>18713.280003946526</v>
      </c>
      <c r="AA419" s="176">
        <f>X288</f>
        <v>49000</v>
      </c>
    </row>
    <row r="420" spans="2:27" x14ac:dyDescent="0.45">
      <c r="B420" s="19">
        <v>3</v>
      </c>
      <c r="C420" s="242" t="s">
        <v>278</v>
      </c>
      <c r="D420" s="242"/>
      <c r="E420" s="19">
        <v>1</v>
      </c>
      <c r="F420" s="19" t="s">
        <v>118</v>
      </c>
      <c r="G420" s="16">
        <f>F300</f>
        <v>19776.215731459506</v>
      </c>
      <c r="H420" s="176">
        <f t="shared" si="10"/>
        <v>12223.784268540494</v>
      </c>
      <c r="I420" s="176">
        <f>F301</f>
        <v>32000</v>
      </c>
      <c r="T420" s="19">
        <v>3</v>
      </c>
      <c r="U420" s="242" t="s">
        <v>278</v>
      </c>
      <c r="V420" s="242"/>
      <c r="W420" s="19">
        <v>1</v>
      </c>
      <c r="X420" s="19" t="s">
        <v>118</v>
      </c>
      <c r="Y420" s="16">
        <f>X300</f>
        <v>30284.47393097567</v>
      </c>
      <c r="Z420" s="176">
        <f t="shared" si="11"/>
        <v>18715.52606902433</v>
      </c>
      <c r="AA420" s="176">
        <f>X301</f>
        <v>49000</v>
      </c>
    </row>
    <row r="421" spans="2:27" x14ac:dyDescent="0.45">
      <c r="B421" s="19">
        <v>4</v>
      </c>
      <c r="C421" s="242" t="s">
        <v>279</v>
      </c>
      <c r="D421" s="242"/>
      <c r="E421" s="19">
        <v>1</v>
      </c>
      <c r="F421" s="19" t="s">
        <v>118</v>
      </c>
      <c r="G421" s="16">
        <f>F313</f>
        <v>19279.518473398908</v>
      </c>
      <c r="H421" s="176">
        <f t="shared" si="10"/>
        <v>12720.481526601092</v>
      </c>
      <c r="I421" s="176">
        <f>F314</f>
        <v>32000</v>
      </c>
      <c r="T421" s="19">
        <v>4</v>
      </c>
      <c r="U421" s="242" t="s">
        <v>279</v>
      </c>
      <c r="V421" s="242"/>
      <c r="W421" s="19">
        <v>1</v>
      </c>
      <c r="X421" s="19" t="s">
        <v>118</v>
      </c>
      <c r="Y421" s="16">
        <f>X313</f>
        <v>29787.776672915072</v>
      </c>
      <c r="Z421" s="176">
        <f t="shared" si="11"/>
        <v>19212.223327084928</v>
      </c>
      <c r="AA421" s="176">
        <f>X314</f>
        <v>49000</v>
      </c>
    </row>
    <row r="422" spans="2:27" x14ac:dyDescent="0.45">
      <c r="B422" s="19">
        <v>5</v>
      </c>
      <c r="C422" s="242" t="s">
        <v>280</v>
      </c>
      <c r="D422" s="242"/>
      <c r="E422" s="19">
        <v>1</v>
      </c>
      <c r="F422" s="19" t="s">
        <v>118</v>
      </c>
      <c r="G422" s="16">
        <f>L274</f>
        <v>19679.502986468658</v>
      </c>
      <c r="H422" s="176">
        <f t="shared" si="10"/>
        <v>12320.497013531342</v>
      </c>
      <c r="I422" s="176">
        <f>L275</f>
        <v>32000</v>
      </c>
      <c r="T422" s="19">
        <v>5</v>
      </c>
      <c r="U422" s="242" t="s">
        <v>280</v>
      </c>
      <c r="V422" s="242"/>
      <c r="W422" s="19">
        <v>1</v>
      </c>
      <c r="X422" s="19" t="s">
        <v>118</v>
      </c>
      <c r="Y422" s="16">
        <f>AD274</f>
        <v>30187.761185984826</v>
      </c>
      <c r="Z422" s="176">
        <f t="shared" si="11"/>
        <v>18812.238814015174</v>
      </c>
      <c r="AA422" s="176">
        <f>AD275</f>
        <v>49000</v>
      </c>
    </row>
    <row r="423" spans="2:27" x14ac:dyDescent="0.45">
      <c r="B423" s="19">
        <v>6</v>
      </c>
      <c r="C423" s="242" t="s">
        <v>281</v>
      </c>
      <c r="D423" s="242"/>
      <c r="E423" s="19">
        <v>1</v>
      </c>
      <c r="F423" s="19" t="s">
        <v>118</v>
      </c>
      <c r="G423" s="16">
        <f>L287</f>
        <v>19677.256921390854</v>
      </c>
      <c r="H423" s="176">
        <f t="shared" si="10"/>
        <v>12322.743078609146</v>
      </c>
      <c r="I423" s="176">
        <f>L288</f>
        <v>32000</v>
      </c>
      <c r="T423" s="19">
        <v>6</v>
      </c>
      <c r="U423" s="242" t="s">
        <v>281</v>
      </c>
      <c r="V423" s="242"/>
      <c r="W423" s="19">
        <v>1</v>
      </c>
      <c r="X423" s="19" t="s">
        <v>118</v>
      </c>
      <c r="Y423" s="16">
        <f>AD287</f>
        <v>30185.515120907021</v>
      </c>
      <c r="Z423" s="176">
        <f t="shared" si="11"/>
        <v>18814.484879092979</v>
      </c>
      <c r="AA423" s="176">
        <f>AD288</f>
        <v>49000</v>
      </c>
    </row>
    <row r="424" spans="2:27" x14ac:dyDescent="0.45">
      <c r="B424" s="19">
        <v>7</v>
      </c>
      <c r="C424" s="242" t="s">
        <v>282</v>
      </c>
      <c r="D424" s="242"/>
      <c r="E424" s="19">
        <v>1</v>
      </c>
      <c r="F424" s="19" t="s">
        <v>118</v>
      </c>
      <c r="G424" s="16">
        <f>L300</f>
        <v>19180.559663330256</v>
      </c>
      <c r="H424" s="176">
        <f t="shared" si="10"/>
        <v>12819.440336669744</v>
      </c>
      <c r="I424" s="176">
        <f>L301</f>
        <v>32000</v>
      </c>
      <c r="T424" s="19">
        <v>7</v>
      </c>
      <c r="U424" s="242" t="s">
        <v>282</v>
      </c>
      <c r="V424" s="242"/>
      <c r="W424" s="19">
        <v>1</v>
      </c>
      <c r="X424" s="19" t="s">
        <v>118</v>
      </c>
      <c r="Y424" s="16">
        <f>AD300</f>
        <v>29688.817862846423</v>
      </c>
      <c r="Z424" s="176">
        <f t="shared" si="11"/>
        <v>19311.182137153577</v>
      </c>
      <c r="AA424" s="176">
        <f>AD301</f>
        <v>49000</v>
      </c>
    </row>
    <row r="425" spans="2:27" x14ac:dyDescent="0.45">
      <c r="B425" s="19">
        <v>8</v>
      </c>
      <c r="C425" s="242" t="s">
        <v>283</v>
      </c>
      <c r="D425" s="242"/>
      <c r="E425" s="19">
        <v>1</v>
      </c>
      <c r="F425" s="19" t="s">
        <v>118</v>
      </c>
      <c r="G425" s="16">
        <f>L313</f>
        <v>19828.606666721924</v>
      </c>
      <c r="H425" s="176">
        <f t="shared" si="10"/>
        <v>12171.393333278076</v>
      </c>
      <c r="I425" s="176">
        <f>L314</f>
        <v>32000</v>
      </c>
      <c r="T425" s="19">
        <v>8</v>
      </c>
      <c r="U425" s="242" t="s">
        <v>283</v>
      </c>
      <c r="V425" s="242"/>
      <c r="W425" s="19">
        <v>1</v>
      </c>
      <c r="X425" s="19" t="s">
        <v>118</v>
      </c>
      <c r="Y425" s="16">
        <f>AD313</f>
        <v>30336.864866238091</v>
      </c>
      <c r="Z425" s="176">
        <f t="shared" si="11"/>
        <v>18663.135133761909</v>
      </c>
      <c r="AA425" s="176">
        <f>AD314</f>
        <v>49000</v>
      </c>
    </row>
    <row r="426" spans="2:27" x14ac:dyDescent="0.45">
      <c r="B426" s="19">
        <v>9</v>
      </c>
      <c r="C426" s="242" t="s">
        <v>284</v>
      </c>
      <c r="D426" s="242"/>
      <c r="E426" s="19">
        <v>1</v>
      </c>
      <c r="F426" s="19" t="s">
        <v>118</v>
      </c>
      <c r="G426" s="16">
        <f>R274</f>
        <v>19329.663343583521</v>
      </c>
      <c r="H426" s="176">
        <f t="shared" si="10"/>
        <v>12670.336656416479</v>
      </c>
      <c r="I426" s="176">
        <f>R275</f>
        <v>32000</v>
      </c>
      <c r="T426" s="19">
        <v>9</v>
      </c>
      <c r="U426" s="242" t="s">
        <v>284</v>
      </c>
      <c r="V426" s="242"/>
      <c r="W426" s="19">
        <v>1</v>
      </c>
      <c r="X426" s="19" t="s">
        <v>118</v>
      </c>
      <c r="Y426" s="16">
        <f>AJ274</f>
        <v>29837.921543099688</v>
      </c>
      <c r="Z426" s="176">
        <f t="shared" si="11"/>
        <v>19162.078456900312</v>
      </c>
      <c r="AA426" s="176">
        <f>AJ275</f>
        <v>49000</v>
      </c>
    </row>
    <row r="427" spans="2:27" x14ac:dyDescent="0.45">
      <c r="B427" s="19">
        <v>10</v>
      </c>
      <c r="C427" s="128" t="s">
        <v>317</v>
      </c>
      <c r="D427" s="128"/>
      <c r="E427" s="19">
        <v>1</v>
      </c>
      <c r="F427" s="19" t="s">
        <v>118</v>
      </c>
      <c r="G427" s="16">
        <f>R287</f>
        <v>19329.663343583521</v>
      </c>
      <c r="H427" s="176">
        <f t="shared" si="10"/>
        <v>12670.336656416479</v>
      </c>
      <c r="I427" s="176">
        <f>R288</f>
        <v>32000</v>
      </c>
      <c r="T427" s="19">
        <v>10</v>
      </c>
      <c r="U427" s="128" t="s">
        <v>317</v>
      </c>
      <c r="V427" s="128"/>
      <c r="W427" s="19">
        <v>1</v>
      </c>
      <c r="X427" s="19" t="s">
        <v>118</v>
      </c>
      <c r="Y427" s="16">
        <f>AJ287</f>
        <v>29837.921543099688</v>
      </c>
      <c r="Z427" s="176">
        <f t="shared" si="11"/>
        <v>19162.078456900312</v>
      </c>
      <c r="AA427" s="176">
        <f>AJ288</f>
        <v>49000</v>
      </c>
    </row>
    <row r="429" spans="2:27" x14ac:dyDescent="0.45">
      <c r="B429" s="2" t="s">
        <v>324</v>
      </c>
    </row>
    <row r="430" spans="2:27" x14ac:dyDescent="0.45">
      <c r="B430" s="122" t="s">
        <v>0</v>
      </c>
      <c r="C430" s="244" t="s">
        <v>125</v>
      </c>
      <c r="D430" s="244"/>
      <c r="E430" s="122" t="s">
        <v>34</v>
      </c>
      <c r="F430" s="122" t="s">
        <v>50</v>
      </c>
      <c r="G430" s="123" t="s">
        <v>126</v>
      </c>
      <c r="H430" s="124" t="s">
        <v>119</v>
      </c>
      <c r="I430" s="137" t="s">
        <v>127</v>
      </c>
    </row>
    <row r="431" spans="2:27" x14ac:dyDescent="0.45">
      <c r="B431" s="19">
        <v>1</v>
      </c>
      <c r="C431" s="242" t="s">
        <v>276</v>
      </c>
      <c r="D431" s="242"/>
      <c r="E431" s="19">
        <v>1</v>
      </c>
      <c r="F431" s="19" t="s">
        <v>118</v>
      </c>
      <c r="G431" s="16">
        <f>F325</f>
        <v>20608.538976554355</v>
      </c>
      <c r="H431" s="176">
        <f>I431-G431</f>
        <v>8391.461023445645</v>
      </c>
      <c r="I431" s="176">
        <f>F326</f>
        <v>29000</v>
      </c>
    </row>
    <row r="432" spans="2:27" x14ac:dyDescent="0.45">
      <c r="B432" s="19">
        <v>2</v>
      </c>
      <c r="C432" s="242" t="s">
        <v>277</v>
      </c>
      <c r="D432" s="242"/>
      <c r="E432" s="19">
        <v>1</v>
      </c>
      <c r="F432" s="19" t="s">
        <v>118</v>
      </c>
      <c r="G432" s="16">
        <f>F336</f>
        <v>20759.888721885425</v>
      </c>
      <c r="H432" s="176">
        <f t="shared" ref="H432:H439" si="12">I432-G432</f>
        <v>8240.1112781145748</v>
      </c>
      <c r="I432" s="176">
        <f>F337</f>
        <v>29000</v>
      </c>
    </row>
    <row r="433" spans="2:9" x14ac:dyDescent="0.45">
      <c r="B433" s="19">
        <v>3</v>
      </c>
      <c r="C433" s="242" t="s">
        <v>278</v>
      </c>
      <c r="D433" s="242"/>
      <c r="E433" s="19">
        <v>1</v>
      </c>
      <c r="F433" s="19" t="s">
        <v>118</v>
      </c>
      <c r="G433" s="16">
        <f>F347</f>
        <v>20757.64265680762</v>
      </c>
      <c r="H433" s="176">
        <f t="shared" si="12"/>
        <v>8242.3573431923796</v>
      </c>
      <c r="I433" s="176">
        <f>F348</f>
        <v>29000</v>
      </c>
    </row>
    <row r="434" spans="2:9" x14ac:dyDescent="0.45">
      <c r="B434" s="19">
        <v>4</v>
      </c>
      <c r="C434" s="242" t="s">
        <v>279</v>
      </c>
      <c r="D434" s="242"/>
      <c r="E434" s="19">
        <v>1</v>
      </c>
      <c r="F434" s="19" t="s">
        <v>118</v>
      </c>
      <c r="G434" s="16">
        <f>L325</f>
        <v>20260.945398747022</v>
      </c>
      <c r="H434" s="176">
        <f t="shared" si="12"/>
        <v>8739.0546012529776</v>
      </c>
      <c r="I434" s="176">
        <f>L326</f>
        <v>29000</v>
      </c>
    </row>
    <row r="435" spans="2:9" x14ac:dyDescent="0.45">
      <c r="B435" s="19">
        <v>5</v>
      </c>
      <c r="C435" s="242" t="s">
        <v>280</v>
      </c>
      <c r="D435" s="242"/>
      <c r="E435" s="19">
        <v>1</v>
      </c>
      <c r="F435" s="19" t="s">
        <v>118</v>
      </c>
      <c r="G435" s="16">
        <f>L336</f>
        <v>20660.929911816776</v>
      </c>
      <c r="H435" s="176">
        <f t="shared" si="12"/>
        <v>8339.0700881832236</v>
      </c>
      <c r="I435" s="176">
        <f>L337</f>
        <v>29000</v>
      </c>
    </row>
    <row r="436" spans="2:9" x14ac:dyDescent="0.45">
      <c r="B436" s="19">
        <v>6</v>
      </c>
      <c r="C436" s="242" t="s">
        <v>281</v>
      </c>
      <c r="D436" s="242"/>
      <c r="E436" s="19">
        <v>1</v>
      </c>
      <c r="F436" s="19" t="s">
        <v>118</v>
      </c>
      <c r="G436" s="16">
        <f>L347</f>
        <v>20658.683846738972</v>
      </c>
      <c r="H436" s="176">
        <f t="shared" si="12"/>
        <v>8341.3161532610284</v>
      </c>
      <c r="I436" s="176">
        <f>L348</f>
        <v>29000</v>
      </c>
    </row>
    <row r="437" spans="2:9" x14ac:dyDescent="0.45">
      <c r="B437" s="19">
        <v>7</v>
      </c>
      <c r="C437" s="242" t="s">
        <v>282</v>
      </c>
      <c r="D437" s="242"/>
      <c r="E437" s="19">
        <v>1</v>
      </c>
      <c r="F437" s="19" t="s">
        <v>118</v>
      </c>
      <c r="G437" s="16">
        <f>R325</f>
        <v>20161.986588678374</v>
      </c>
      <c r="H437" s="176">
        <f t="shared" si="12"/>
        <v>8838.0134113216263</v>
      </c>
      <c r="I437" s="176">
        <f>R326</f>
        <v>29000</v>
      </c>
    </row>
    <row r="438" spans="2:9" x14ac:dyDescent="0.45">
      <c r="B438" s="19">
        <v>8</v>
      </c>
      <c r="C438" s="242" t="s">
        <v>283</v>
      </c>
      <c r="D438" s="242"/>
      <c r="E438" s="19">
        <v>1</v>
      </c>
      <c r="F438" s="19" t="s">
        <v>118</v>
      </c>
      <c r="G438" s="16">
        <f>R336</f>
        <v>20810.033592070042</v>
      </c>
      <c r="H438" s="176">
        <f t="shared" si="12"/>
        <v>8189.9664079299582</v>
      </c>
      <c r="I438" s="176">
        <f>R337</f>
        <v>29000</v>
      </c>
    </row>
    <row r="439" spans="2:9" x14ac:dyDescent="0.45">
      <c r="B439" s="19">
        <v>9</v>
      </c>
      <c r="C439" s="242" t="s">
        <v>284</v>
      </c>
      <c r="D439" s="242"/>
      <c r="E439" s="19">
        <v>1</v>
      </c>
      <c r="F439" s="19" t="s">
        <v>118</v>
      </c>
      <c r="G439" s="16">
        <f>R347</f>
        <v>20311.090268931639</v>
      </c>
      <c r="H439" s="176">
        <f t="shared" si="12"/>
        <v>8688.909731068361</v>
      </c>
      <c r="I439" s="176">
        <f>R348</f>
        <v>29000</v>
      </c>
    </row>
  </sheetData>
  <mergeCells count="530">
    <mergeCell ref="B2:R2"/>
    <mergeCell ref="T2:AJ2"/>
    <mergeCell ref="D11:E11"/>
    <mergeCell ref="J11:K11"/>
    <mergeCell ref="J35:K35"/>
    <mergeCell ref="V11:W11"/>
    <mergeCell ref="V47:W47"/>
    <mergeCell ref="AB35:AC35"/>
    <mergeCell ref="P11:Q11"/>
    <mergeCell ref="V35:W35"/>
    <mergeCell ref="AH11:AI11"/>
    <mergeCell ref="AB11:AC11"/>
    <mergeCell ref="AH23:AI23"/>
    <mergeCell ref="D25:E25"/>
    <mergeCell ref="D13:E13"/>
    <mergeCell ref="J13:K13"/>
    <mergeCell ref="V13:W13"/>
    <mergeCell ref="D12:E12"/>
    <mergeCell ref="P12:Q12"/>
    <mergeCell ref="AH12:AI12"/>
    <mergeCell ref="AH25:AI25"/>
    <mergeCell ref="AB12:AC12"/>
    <mergeCell ref="AB13:AC13"/>
    <mergeCell ref="J12:K12"/>
    <mergeCell ref="J49:K49"/>
    <mergeCell ref="V25:W25"/>
    <mergeCell ref="AB49:AC49"/>
    <mergeCell ref="D24:E24"/>
    <mergeCell ref="J48:K48"/>
    <mergeCell ref="V24:W24"/>
    <mergeCell ref="AB48:AC48"/>
    <mergeCell ref="D23:E23"/>
    <mergeCell ref="J47:K47"/>
    <mergeCell ref="V23:W23"/>
    <mergeCell ref="AB47:AC47"/>
    <mergeCell ref="J37:K37"/>
    <mergeCell ref="V49:W49"/>
    <mergeCell ref="AB37:AC37"/>
    <mergeCell ref="V36:W36"/>
    <mergeCell ref="AB23:AC23"/>
    <mergeCell ref="V48:W48"/>
    <mergeCell ref="AB36:AC36"/>
    <mergeCell ref="D35:E35"/>
    <mergeCell ref="J23:K23"/>
    <mergeCell ref="J36:K36"/>
    <mergeCell ref="V12:W12"/>
    <mergeCell ref="D37:E37"/>
    <mergeCell ref="J25:K25"/>
    <mergeCell ref="P13:Q13"/>
    <mergeCell ref="V37:W37"/>
    <mergeCell ref="AB24:AC24"/>
    <mergeCell ref="AH13:AI13"/>
    <mergeCell ref="P23:Q23"/>
    <mergeCell ref="P24:Q24"/>
    <mergeCell ref="P25:Q25"/>
    <mergeCell ref="AH24:AI24"/>
    <mergeCell ref="D36:E36"/>
    <mergeCell ref="J24:K24"/>
    <mergeCell ref="V102:W102"/>
    <mergeCell ref="AB89:AC89"/>
    <mergeCell ref="J63:K63"/>
    <mergeCell ref="B52:R52"/>
    <mergeCell ref="T52:AJ52"/>
    <mergeCell ref="D62:E62"/>
    <mergeCell ref="D101:E101"/>
    <mergeCell ref="J88:K88"/>
    <mergeCell ref="V62:W62"/>
    <mergeCell ref="V101:W101"/>
    <mergeCell ref="AB88:AC88"/>
    <mergeCell ref="J62:K62"/>
    <mergeCell ref="P62:Q62"/>
    <mergeCell ref="V88:W88"/>
    <mergeCell ref="AB75:AC75"/>
    <mergeCell ref="AH62:AI62"/>
    <mergeCell ref="AB62:AC62"/>
    <mergeCell ref="AH63:AI63"/>
    <mergeCell ref="AH75:AI75"/>
    <mergeCell ref="AH76:AI76"/>
    <mergeCell ref="AH77:AI77"/>
    <mergeCell ref="J75:K75"/>
    <mergeCell ref="D63:E63"/>
    <mergeCell ref="J89:K89"/>
    <mergeCell ref="D103:E103"/>
    <mergeCell ref="J90:K90"/>
    <mergeCell ref="V64:W64"/>
    <mergeCell ref="V103:W103"/>
    <mergeCell ref="AB90:AC90"/>
    <mergeCell ref="J64:K64"/>
    <mergeCell ref="P63:Q63"/>
    <mergeCell ref="V89:W89"/>
    <mergeCell ref="AB76:AC76"/>
    <mergeCell ref="V90:W90"/>
    <mergeCell ref="D77:E77"/>
    <mergeCell ref="J103:K103"/>
    <mergeCell ref="V77:W77"/>
    <mergeCell ref="AB103:AC103"/>
    <mergeCell ref="D76:E76"/>
    <mergeCell ref="J102:K102"/>
    <mergeCell ref="V76:W76"/>
    <mergeCell ref="AB102:AC102"/>
    <mergeCell ref="D75:E75"/>
    <mergeCell ref="J101:K101"/>
    <mergeCell ref="V75:W75"/>
    <mergeCell ref="AB101:AC101"/>
    <mergeCell ref="AB63:AC63"/>
    <mergeCell ref="D88:E88"/>
    <mergeCell ref="V63:W63"/>
    <mergeCell ref="P64:Q64"/>
    <mergeCell ref="AB77:AC77"/>
    <mergeCell ref="AH64:AI64"/>
    <mergeCell ref="P75:Q75"/>
    <mergeCell ref="P76:Q76"/>
    <mergeCell ref="P77:Q77"/>
    <mergeCell ref="AB64:AC64"/>
    <mergeCell ref="D89:E89"/>
    <mergeCell ref="J76:K76"/>
    <mergeCell ref="D64:E64"/>
    <mergeCell ref="B317:R317"/>
    <mergeCell ref="D325:E325"/>
    <mergeCell ref="J325:K325"/>
    <mergeCell ref="P325:Q325"/>
    <mergeCell ref="D326:E326"/>
    <mergeCell ref="J326:K326"/>
    <mergeCell ref="P326:Q326"/>
    <mergeCell ref="D90:E90"/>
    <mergeCell ref="J77:K77"/>
    <mergeCell ref="D102:E102"/>
    <mergeCell ref="J116:K116"/>
    <mergeCell ref="P116:Q116"/>
    <mergeCell ref="D141:E141"/>
    <mergeCell ref="J141:K141"/>
    <mergeCell ref="D155:E155"/>
    <mergeCell ref="J155:K155"/>
    <mergeCell ref="D169:E169"/>
    <mergeCell ref="J169:K169"/>
    <mergeCell ref="P169:Q169"/>
    <mergeCell ref="D181:E181"/>
    <mergeCell ref="J181:K181"/>
    <mergeCell ref="P181:Q181"/>
    <mergeCell ref="D183:E183"/>
    <mergeCell ref="J183:K183"/>
    <mergeCell ref="D337:E337"/>
    <mergeCell ref="J337:K337"/>
    <mergeCell ref="P337:Q337"/>
    <mergeCell ref="D338:E338"/>
    <mergeCell ref="J338:K338"/>
    <mergeCell ref="P338:Q338"/>
    <mergeCell ref="D327:E327"/>
    <mergeCell ref="J327:K327"/>
    <mergeCell ref="P327:Q327"/>
    <mergeCell ref="D336:E336"/>
    <mergeCell ref="J336:K336"/>
    <mergeCell ref="P336:Q336"/>
    <mergeCell ref="D349:E349"/>
    <mergeCell ref="J349:K349"/>
    <mergeCell ref="P349:Q349"/>
    <mergeCell ref="C352:D352"/>
    <mergeCell ref="C353:D353"/>
    <mergeCell ref="C354:D354"/>
    <mergeCell ref="D347:E347"/>
    <mergeCell ref="J347:K347"/>
    <mergeCell ref="P347:Q347"/>
    <mergeCell ref="D348:E348"/>
    <mergeCell ref="J348:K348"/>
    <mergeCell ref="P348:Q348"/>
    <mergeCell ref="U361:V361"/>
    <mergeCell ref="C361:D361"/>
    <mergeCell ref="U352:V352"/>
    <mergeCell ref="U353:V353"/>
    <mergeCell ref="U354:V354"/>
    <mergeCell ref="U355:V355"/>
    <mergeCell ref="U356:V356"/>
    <mergeCell ref="C365:D365"/>
    <mergeCell ref="C366:D366"/>
    <mergeCell ref="C355:D355"/>
    <mergeCell ref="C356:D356"/>
    <mergeCell ref="C357:D357"/>
    <mergeCell ref="C358:D358"/>
    <mergeCell ref="C359:D359"/>
    <mergeCell ref="C360:D360"/>
    <mergeCell ref="U365:V365"/>
    <mergeCell ref="U366:V366"/>
    <mergeCell ref="C437:D437"/>
    <mergeCell ref="C438:D438"/>
    <mergeCell ref="C439:D439"/>
    <mergeCell ref="D47:E47"/>
    <mergeCell ref="D48:E48"/>
    <mergeCell ref="D49:E49"/>
    <mergeCell ref="B105:R105"/>
    <mergeCell ref="D116:E116"/>
    <mergeCell ref="C399:D399"/>
    <mergeCell ref="C430:D430"/>
    <mergeCell ref="C431:D431"/>
    <mergeCell ref="C432:D432"/>
    <mergeCell ref="C433:D433"/>
    <mergeCell ref="C434:D434"/>
    <mergeCell ref="C408:D408"/>
    <mergeCell ref="C409:D409"/>
    <mergeCell ref="C410:D410"/>
    <mergeCell ref="C411:D411"/>
    <mergeCell ref="C393:D393"/>
    <mergeCell ref="C394:D394"/>
    <mergeCell ref="C395:D395"/>
    <mergeCell ref="C396:D396"/>
    <mergeCell ref="C397:D397"/>
    <mergeCell ref="C398:D398"/>
    <mergeCell ref="T105:AJ105"/>
    <mergeCell ref="D115:E115"/>
    <mergeCell ref="J115:K115"/>
    <mergeCell ref="P115:Q115"/>
    <mergeCell ref="V115:W115"/>
    <mergeCell ref="AB115:AC115"/>
    <mergeCell ref="AH115:AI115"/>
    <mergeCell ref="C435:D435"/>
    <mergeCell ref="C436:D436"/>
    <mergeCell ref="C385:D385"/>
    <mergeCell ref="C386:D386"/>
    <mergeCell ref="C387:D387"/>
    <mergeCell ref="C391:D391"/>
    <mergeCell ref="C392:D392"/>
    <mergeCell ref="C379:D379"/>
    <mergeCell ref="C380:D380"/>
    <mergeCell ref="C381:D381"/>
    <mergeCell ref="C382:D382"/>
    <mergeCell ref="C383:D383"/>
    <mergeCell ref="C384:D384"/>
    <mergeCell ref="U357:V357"/>
    <mergeCell ref="U358:V358"/>
    <mergeCell ref="U359:V359"/>
    <mergeCell ref="U360:V360"/>
    <mergeCell ref="V116:W116"/>
    <mergeCell ref="AB116:AC116"/>
    <mergeCell ref="AH116:AI116"/>
    <mergeCell ref="D117:E117"/>
    <mergeCell ref="J117:K117"/>
    <mergeCell ref="P117:Q117"/>
    <mergeCell ref="V117:W117"/>
    <mergeCell ref="AB117:AC117"/>
    <mergeCell ref="AH130:AI130"/>
    <mergeCell ref="D129:E129"/>
    <mergeCell ref="J129:K129"/>
    <mergeCell ref="P129:Q129"/>
    <mergeCell ref="V129:W129"/>
    <mergeCell ref="AB129:AC129"/>
    <mergeCell ref="AH129:AI129"/>
    <mergeCell ref="AH117:AI117"/>
    <mergeCell ref="D128:E128"/>
    <mergeCell ref="J128:K128"/>
    <mergeCell ref="P128:Q128"/>
    <mergeCell ref="V128:W128"/>
    <mergeCell ref="AB128:AC128"/>
    <mergeCell ref="AH128:AI128"/>
    <mergeCell ref="V141:W141"/>
    <mergeCell ref="AB141:AC141"/>
    <mergeCell ref="D142:E142"/>
    <mergeCell ref="J142:K142"/>
    <mergeCell ref="V142:W142"/>
    <mergeCell ref="AB142:AC142"/>
    <mergeCell ref="D130:E130"/>
    <mergeCell ref="J130:K130"/>
    <mergeCell ref="P130:Q130"/>
    <mergeCell ref="V130:W130"/>
    <mergeCell ref="AB130:AC130"/>
    <mergeCell ref="V155:W155"/>
    <mergeCell ref="AB155:AC155"/>
    <mergeCell ref="D156:E156"/>
    <mergeCell ref="J156:K156"/>
    <mergeCell ref="V156:W156"/>
    <mergeCell ref="AB156:AC156"/>
    <mergeCell ref="D143:E143"/>
    <mergeCell ref="J143:K143"/>
    <mergeCell ref="V143:W143"/>
    <mergeCell ref="AB143:AC143"/>
    <mergeCell ref="D154:E154"/>
    <mergeCell ref="J154:K154"/>
    <mergeCell ref="V154:W154"/>
    <mergeCell ref="AB154:AC154"/>
    <mergeCell ref="V169:W169"/>
    <mergeCell ref="AB169:AC169"/>
    <mergeCell ref="AH169:AI169"/>
    <mergeCell ref="B158:R158"/>
    <mergeCell ref="T158:AJ158"/>
    <mergeCell ref="D168:E168"/>
    <mergeCell ref="J168:K168"/>
    <mergeCell ref="P168:Q168"/>
    <mergeCell ref="V168:W168"/>
    <mergeCell ref="AB168:AC168"/>
    <mergeCell ref="AH168:AI168"/>
    <mergeCell ref="V181:W181"/>
    <mergeCell ref="AB181:AC181"/>
    <mergeCell ref="AH181:AI181"/>
    <mergeCell ref="D170:E170"/>
    <mergeCell ref="J170:K170"/>
    <mergeCell ref="P170:Q170"/>
    <mergeCell ref="V170:W170"/>
    <mergeCell ref="AB170:AC170"/>
    <mergeCell ref="AH170:AI170"/>
    <mergeCell ref="P183:Q183"/>
    <mergeCell ref="V183:W183"/>
    <mergeCell ref="AB183:AC183"/>
    <mergeCell ref="AH183:AI183"/>
    <mergeCell ref="D182:E182"/>
    <mergeCell ref="J182:K182"/>
    <mergeCell ref="P182:Q182"/>
    <mergeCell ref="V182:W182"/>
    <mergeCell ref="AB182:AC182"/>
    <mergeCell ref="AH182:AI182"/>
    <mergeCell ref="D196:E196"/>
    <mergeCell ref="J196:K196"/>
    <mergeCell ref="V196:W196"/>
    <mergeCell ref="AB196:AC196"/>
    <mergeCell ref="D207:E207"/>
    <mergeCell ref="J207:K207"/>
    <mergeCell ref="V207:W207"/>
    <mergeCell ref="AB207:AC207"/>
    <mergeCell ref="D194:E194"/>
    <mergeCell ref="J194:K194"/>
    <mergeCell ref="V194:W194"/>
    <mergeCell ref="AB194:AC194"/>
    <mergeCell ref="D195:E195"/>
    <mergeCell ref="J195:K195"/>
    <mergeCell ref="V195:W195"/>
    <mergeCell ref="AB195:AC195"/>
    <mergeCell ref="B211:R211"/>
    <mergeCell ref="T211:AJ211"/>
    <mergeCell ref="D221:E221"/>
    <mergeCell ref="J221:K221"/>
    <mergeCell ref="P221:Q221"/>
    <mergeCell ref="V221:W221"/>
    <mergeCell ref="AB221:AC221"/>
    <mergeCell ref="AH221:AI221"/>
    <mergeCell ref="D208:E208"/>
    <mergeCell ref="J208:K208"/>
    <mergeCell ref="V208:W208"/>
    <mergeCell ref="AB208:AC208"/>
    <mergeCell ref="D209:E209"/>
    <mergeCell ref="J209:K209"/>
    <mergeCell ref="V209:W209"/>
    <mergeCell ref="AB209:AC209"/>
    <mergeCell ref="D223:E223"/>
    <mergeCell ref="J223:K223"/>
    <mergeCell ref="P223:Q223"/>
    <mergeCell ref="V223:W223"/>
    <mergeCell ref="AB223:AC223"/>
    <mergeCell ref="AH223:AI223"/>
    <mergeCell ref="D222:E222"/>
    <mergeCell ref="J222:K222"/>
    <mergeCell ref="P222:Q222"/>
    <mergeCell ref="V222:W222"/>
    <mergeCell ref="AB222:AC222"/>
    <mergeCell ref="AH222:AI222"/>
    <mergeCell ref="AH236:AI236"/>
    <mergeCell ref="D235:E235"/>
    <mergeCell ref="J235:K235"/>
    <mergeCell ref="P235:Q235"/>
    <mergeCell ref="V235:W235"/>
    <mergeCell ref="AB235:AC235"/>
    <mergeCell ref="AH235:AI235"/>
    <mergeCell ref="D234:E234"/>
    <mergeCell ref="J234:K234"/>
    <mergeCell ref="P234:Q234"/>
    <mergeCell ref="V234:W234"/>
    <mergeCell ref="AB234:AC234"/>
    <mergeCell ref="AH234:AI234"/>
    <mergeCell ref="D247:E247"/>
    <mergeCell ref="J247:K247"/>
    <mergeCell ref="V247:W247"/>
    <mergeCell ref="AB247:AC247"/>
    <mergeCell ref="D248:E248"/>
    <mergeCell ref="J248:K248"/>
    <mergeCell ref="V248:W248"/>
    <mergeCell ref="AB248:AC248"/>
    <mergeCell ref="D236:E236"/>
    <mergeCell ref="J236:K236"/>
    <mergeCell ref="P236:Q236"/>
    <mergeCell ref="V236:W236"/>
    <mergeCell ref="AB236:AC236"/>
    <mergeCell ref="V261:W261"/>
    <mergeCell ref="AB261:AC261"/>
    <mergeCell ref="D262:E262"/>
    <mergeCell ref="J262:K262"/>
    <mergeCell ref="V262:W262"/>
    <mergeCell ref="AB262:AC262"/>
    <mergeCell ref="D261:E261"/>
    <mergeCell ref="J261:K261"/>
    <mergeCell ref="V249:W249"/>
    <mergeCell ref="AB249:AC249"/>
    <mergeCell ref="D260:E260"/>
    <mergeCell ref="J260:K260"/>
    <mergeCell ref="V260:W260"/>
    <mergeCell ref="AB260:AC260"/>
    <mergeCell ref="D249:E249"/>
    <mergeCell ref="J249:K249"/>
    <mergeCell ref="D275:E275"/>
    <mergeCell ref="J275:K275"/>
    <mergeCell ref="P275:Q275"/>
    <mergeCell ref="V275:W275"/>
    <mergeCell ref="AB275:AC275"/>
    <mergeCell ref="AH275:AI275"/>
    <mergeCell ref="B264:R264"/>
    <mergeCell ref="T264:AJ264"/>
    <mergeCell ref="D274:E274"/>
    <mergeCell ref="J274:K274"/>
    <mergeCell ref="P274:Q274"/>
    <mergeCell ref="V274:W274"/>
    <mergeCell ref="AB274:AC274"/>
    <mergeCell ref="AH274:AI274"/>
    <mergeCell ref="D287:E287"/>
    <mergeCell ref="J287:K287"/>
    <mergeCell ref="P287:Q287"/>
    <mergeCell ref="V287:W287"/>
    <mergeCell ref="AB287:AC287"/>
    <mergeCell ref="AH287:AI287"/>
    <mergeCell ref="D276:E276"/>
    <mergeCell ref="J276:K276"/>
    <mergeCell ref="P276:Q276"/>
    <mergeCell ref="V276:W276"/>
    <mergeCell ref="AB276:AC276"/>
    <mergeCell ref="AH276:AI276"/>
    <mergeCell ref="D289:E289"/>
    <mergeCell ref="J289:K289"/>
    <mergeCell ref="P289:Q289"/>
    <mergeCell ref="V289:W289"/>
    <mergeCell ref="AB289:AC289"/>
    <mergeCell ref="AH289:AI289"/>
    <mergeCell ref="D288:E288"/>
    <mergeCell ref="J288:K288"/>
    <mergeCell ref="P288:Q288"/>
    <mergeCell ref="V288:W288"/>
    <mergeCell ref="AB288:AC288"/>
    <mergeCell ref="AH288:AI288"/>
    <mergeCell ref="D302:E302"/>
    <mergeCell ref="J302:K302"/>
    <mergeCell ref="V302:W302"/>
    <mergeCell ref="AB302:AC302"/>
    <mergeCell ref="V313:W313"/>
    <mergeCell ref="AB313:AC313"/>
    <mergeCell ref="D300:E300"/>
    <mergeCell ref="J300:K300"/>
    <mergeCell ref="V300:W300"/>
    <mergeCell ref="AB300:AC300"/>
    <mergeCell ref="D301:E301"/>
    <mergeCell ref="J301:K301"/>
    <mergeCell ref="V301:W301"/>
    <mergeCell ref="AB301:AC301"/>
    <mergeCell ref="V314:W314"/>
    <mergeCell ref="AB314:AC314"/>
    <mergeCell ref="V315:W315"/>
    <mergeCell ref="AB315:AC315"/>
    <mergeCell ref="D313:E313"/>
    <mergeCell ref="J313:K313"/>
    <mergeCell ref="D314:E314"/>
    <mergeCell ref="J314:K314"/>
    <mergeCell ref="D315:E315"/>
    <mergeCell ref="J315:K315"/>
    <mergeCell ref="C424:D424"/>
    <mergeCell ref="C425:D425"/>
    <mergeCell ref="C426:D426"/>
    <mergeCell ref="C412:D412"/>
    <mergeCell ref="C413:D413"/>
    <mergeCell ref="C417:D417"/>
    <mergeCell ref="C418:D418"/>
    <mergeCell ref="C419:D419"/>
    <mergeCell ref="C420:D420"/>
    <mergeCell ref="U367:V367"/>
    <mergeCell ref="U368:V368"/>
    <mergeCell ref="U369:V369"/>
    <mergeCell ref="U370:V370"/>
    <mergeCell ref="C421:D421"/>
    <mergeCell ref="C422:D422"/>
    <mergeCell ref="C423:D423"/>
    <mergeCell ref="C378:D378"/>
    <mergeCell ref="C400:D400"/>
    <mergeCell ref="C404:D404"/>
    <mergeCell ref="C405:D405"/>
    <mergeCell ref="C406:D406"/>
    <mergeCell ref="C407:D407"/>
    <mergeCell ref="C369:D369"/>
    <mergeCell ref="C370:D370"/>
    <mergeCell ref="C371:D371"/>
    <mergeCell ref="C372:D372"/>
    <mergeCell ref="C373:D373"/>
    <mergeCell ref="C374:D374"/>
    <mergeCell ref="C367:D367"/>
    <mergeCell ref="C368:D368"/>
    <mergeCell ref="U380:V380"/>
    <mergeCell ref="U381:V381"/>
    <mergeCell ref="U382:V382"/>
    <mergeCell ref="U383:V383"/>
    <mergeCell ref="U384:V384"/>
    <mergeCell ref="U385:V385"/>
    <mergeCell ref="U371:V371"/>
    <mergeCell ref="U372:V372"/>
    <mergeCell ref="U373:V373"/>
    <mergeCell ref="U374:V374"/>
    <mergeCell ref="U378:V378"/>
    <mergeCell ref="U379:V379"/>
    <mergeCell ref="U398:V398"/>
    <mergeCell ref="U399:V399"/>
    <mergeCell ref="U400:V400"/>
    <mergeCell ref="U386:V386"/>
    <mergeCell ref="U387:V387"/>
    <mergeCell ref="U391:V391"/>
    <mergeCell ref="U392:V392"/>
    <mergeCell ref="U393:V393"/>
    <mergeCell ref="U394:V394"/>
    <mergeCell ref="U425:V425"/>
    <mergeCell ref="U426:V426"/>
    <mergeCell ref="AB25:AC25"/>
    <mergeCell ref="U419:V419"/>
    <mergeCell ref="U420:V420"/>
    <mergeCell ref="U421:V421"/>
    <mergeCell ref="U422:V422"/>
    <mergeCell ref="U423:V423"/>
    <mergeCell ref="U424:V424"/>
    <mergeCell ref="U410:V410"/>
    <mergeCell ref="U411:V411"/>
    <mergeCell ref="U412:V412"/>
    <mergeCell ref="U413:V413"/>
    <mergeCell ref="U417:V417"/>
    <mergeCell ref="U418:V418"/>
    <mergeCell ref="U404:V404"/>
    <mergeCell ref="U405:V405"/>
    <mergeCell ref="U406:V406"/>
    <mergeCell ref="U407:V407"/>
    <mergeCell ref="U408:V408"/>
    <mergeCell ref="U409:V409"/>
    <mergeCell ref="U395:V395"/>
    <mergeCell ref="U396:V396"/>
    <mergeCell ref="U397:V397"/>
  </mergeCells>
  <pageMargins left="0.7" right="0.7" top="0.75" bottom="0.75" header="0.3" footer="0.3"/>
  <pageSetup paperSize="9" orientation="portrait" horizontalDpi="0" verticalDpi="0" r:id="rId1"/>
  <ignoredErrors>
    <ignoredError sqref="H356" evalError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960D9-3232-4CD7-B228-5B711472F81F}">
  <dimension ref="B2:AJ392"/>
  <sheetViews>
    <sheetView topLeftCell="A352" zoomScale="76" zoomScaleNormal="76" workbookViewId="0">
      <selection activeCell="U376" sqref="U376:V376"/>
    </sheetView>
  </sheetViews>
  <sheetFormatPr defaultRowHeight="14.25" x14ac:dyDescent="0.45"/>
  <cols>
    <col min="1" max="1" width="2.33203125" customWidth="1"/>
    <col min="2" max="2" width="9" bestFit="1" customWidth="1"/>
    <col min="3" max="3" width="34.53125" customWidth="1"/>
    <col min="4" max="4" width="8.53125" customWidth="1"/>
    <col min="6" max="6" width="10.1328125" bestFit="1" customWidth="1"/>
    <col min="7" max="8" width="10.19921875" bestFit="1" customWidth="1"/>
    <col min="9" max="9" width="24.33203125" bestFit="1" customWidth="1"/>
    <col min="12" max="12" width="9.86328125" bestFit="1" customWidth="1"/>
    <col min="15" max="15" width="24.33203125" bestFit="1" customWidth="1"/>
    <col min="18" max="18" width="9.86328125" bestFit="1" customWidth="1"/>
    <col min="19" max="19" width="3.33203125" style="205" customWidth="1"/>
    <col min="21" max="21" width="35.46484375" customWidth="1"/>
    <col min="24" max="24" width="10.1328125" bestFit="1" customWidth="1"/>
    <col min="25" max="26" width="10.46484375" bestFit="1" customWidth="1"/>
    <col min="27" max="27" width="24.53125" bestFit="1" customWidth="1"/>
    <col min="30" max="30" width="10.1328125" bestFit="1" customWidth="1"/>
    <col min="33" max="33" width="24.53125" bestFit="1" customWidth="1"/>
    <col min="36" max="36" width="10.1328125" bestFit="1" customWidth="1"/>
  </cols>
  <sheetData>
    <row r="2" spans="2:36" ht="15.4" x14ac:dyDescent="0.45">
      <c r="B2" s="259" t="s">
        <v>331</v>
      </c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  <c r="N2" s="259"/>
      <c r="O2" s="259"/>
      <c r="P2" s="259"/>
      <c r="Q2" s="259"/>
      <c r="R2" s="259"/>
      <c r="T2" s="259" t="s">
        <v>332</v>
      </c>
      <c r="U2" s="259"/>
      <c r="V2" s="259"/>
      <c r="W2" s="259"/>
      <c r="X2" s="259"/>
      <c r="Y2" s="259"/>
      <c r="Z2" s="259"/>
      <c r="AA2" s="259"/>
      <c r="AB2" s="259"/>
      <c r="AC2" s="259"/>
      <c r="AD2" s="259"/>
      <c r="AE2" s="259"/>
      <c r="AF2" s="259"/>
      <c r="AG2" s="259"/>
      <c r="AH2" s="259"/>
      <c r="AI2" s="259"/>
      <c r="AJ2" s="259"/>
    </row>
    <row r="3" spans="2:36" ht="14.65" thickBot="1" x14ac:dyDescent="0.5">
      <c r="B3" s="2" t="s">
        <v>253</v>
      </c>
      <c r="H3" s="2" t="s">
        <v>259</v>
      </c>
      <c r="N3" s="2" t="s">
        <v>263</v>
      </c>
      <c r="T3" s="2" t="s">
        <v>253</v>
      </c>
      <c r="Z3" s="2" t="s">
        <v>259</v>
      </c>
      <c r="AF3" s="2" t="s">
        <v>263</v>
      </c>
    </row>
    <row r="4" spans="2:36" x14ac:dyDescent="0.45">
      <c r="B4" s="119" t="s">
        <v>0</v>
      </c>
      <c r="C4" s="119" t="s">
        <v>49</v>
      </c>
      <c r="D4" s="119" t="s">
        <v>34</v>
      </c>
      <c r="E4" s="119" t="s">
        <v>50</v>
      </c>
      <c r="F4" s="119" t="s">
        <v>36</v>
      </c>
      <c r="H4" s="119" t="s">
        <v>0</v>
      </c>
      <c r="I4" s="119" t="s">
        <v>49</v>
      </c>
      <c r="J4" s="119" t="s">
        <v>34</v>
      </c>
      <c r="K4" s="119" t="s">
        <v>50</v>
      </c>
      <c r="L4" s="119" t="s">
        <v>36</v>
      </c>
      <c r="N4" s="119" t="s">
        <v>0</v>
      </c>
      <c r="O4" s="119" t="s">
        <v>49</v>
      </c>
      <c r="P4" s="119" t="s">
        <v>34</v>
      </c>
      <c r="Q4" s="119" t="s">
        <v>50</v>
      </c>
      <c r="R4" s="119" t="s">
        <v>36</v>
      </c>
      <c r="T4" s="119" t="s">
        <v>0</v>
      </c>
      <c r="U4" s="119" t="s">
        <v>49</v>
      </c>
      <c r="V4" s="119" t="s">
        <v>34</v>
      </c>
      <c r="W4" s="119" t="s">
        <v>50</v>
      </c>
      <c r="X4" s="119" t="s">
        <v>36</v>
      </c>
      <c r="Z4" s="119" t="s">
        <v>0</v>
      </c>
      <c r="AA4" s="119" t="s">
        <v>49</v>
      </c>
      <c r="AB4" s="119" t="s">
        <v>34</v>
      </c>
      <c r="AC4" s="119" t="s">
        <v>50</v>
      </c>
      <c r="AD4" s="119" t="s">
        <v>36</v>
      </c>
      <c r="AF4" s="119" t="s">
        <v>0</v>
      </c>
      <c r="AG4" s="119" t="s">
        <v>49</v>
      </c>
      <c r="AH4" s="119" t="s">
        <v>34</v>
      </c>
      <c r="AI4" s="119" t="s">
        <v>50</v>
      </c>
      <c r="AJ4" s="119" t="s">
        <v>36</v>
      </c>
    </row>
    <row r="5" spans="2:36" x14ac:dyDescent="0.45">
      <c r="B5" s="141">
        <v>1</v>
      </c>
      <c r="C5" s="142" t="s">
        <v>112</v>
      </c>
      <c r="D5" s="141">
        <v>1</v>
      </c>
      <c r="E5" s="141" t="s">
        <v>6</v>
      </c>
      <c r="F5" s="143">
        <f>D5*'Daftar HPP'!$L$57</f>
        <v>4875.7315789473687</v>
      </c>
      <c r="H5" s="141">
        <v>1</v>
      </c>
      <c r="I5" s="142" t="s">
        <v>112</v>
      </c>
      <c r="J5" s="141">
        <v>1</v>
      </c>
      <c r="K5" s="141" t="s">
        <v>6</v>
      </c>
      <c r="L5" s="143">
        <f>J5*'Daftar HPP'!$L$57</f>
        <v>4875.7315789473687</v>
      </c>
      <c r="N5" s="141">
        <v>1</v>
      </c>
      <c r="O5" s="142" t="s">
        <v>112</v>
      </c>
      <c r="P5" s="141">
        <v>1</v>
      </c>
      <c r="Q5" s="141" t="s">
        <v>6</v>
      </c>
      <c r="R5" s="143">
        <f>P5*'Daftar HPP'!$L$57</f>
        <v>4875.7315789473687</v>
      </c>
      <c r="T5" s="141">
        <v>1</v>
      </c>
      <c r="U5" s="142" t="s">
        <v>112</v>
      </c>
      <c r="V5" s="141">
        <v>2</v>
      </c>
      <c r="W5" s="141" t="s">
        <v>6</v>
      </c>
      <c r="X5" s="143">
        <f>V5*'Daftar HPP'!$L$57</f>
        <v>9751.4631578947374</v>
      </c>
      <c r="Z5" s="141">
        <v>1</v>
      </c>
      <c r="AA5" s="142" t="s">
        <v>112</v>
      </c>
      <c r="AB5" s="141">
        <v>2</v>
      </c>
      <c r="AC5" s="141" t="s">
        <v>6</v>
      </c>
      <c r="AD5" s="143">
        <f>AB5*'Daftar HPP'!$L$57</f>
        <v>9751.4631578947374</v>
      </c>
      <c r="AF5" s="141">
        <v>1</v>
      </c>
      <c r="AG5" s="142" t="s">
        <v>112</v>
      </c>
      <c r="AH5" s="141">
        <v>2</v>
      </c>
      <c r="AI5" s="141" t="s">
        <v>6</v>
      </c>
      <c r="AJ5" s="143">
        <f>AH5*'Daftar HPP'!$L$57</f>
        <v>9751.4631578947374</v>
      </c>
    </row>
    <row r="6" spans="2:36" x14ac:dyDescent="0.45">
      <c r="B6" s="141">
        <v>2</v>
      </c>
      <c r="C6" s="142" t="s">
        <v>271</v>
      </c>
      <c r="D6" s="141">
        <v>1</v>
      </c>
      <c r="E6" s="141" t="s">
        <v>118</v>
      </c>
      <c r="F6" s="143">
        <f>D6*'Daftar HPP'!$G$13</f>
        <v>1200</v>
      </c>
      <c r="H6" s="141">
        <v>2</v>
      </c>
      <c r="I6" s="142" t="s">
        <v>271</v>
      </c>
      <c r="J6" s="141">
        <v>1</v>
      </c>
      <c r="K6" s="141" t="s">
        <v>118</v>
      </c>
      <c r="L6" s="143">
        <f>J6*'Daftar HPP'!$G$13</f>
        <v>1200</v>
      </c>
      <c r="N6" s="141">
        <v>2</v>
      </c>
      <c r="O6" s="142" t="s">
        <v>271</v>
      </c>
      <c r="P6" s="141">
        <v>1</v>
      </c>
      <c r="Q6" s="141" t="s">
        <v>118</v>
      </c>
      <c r="R6" s="143">
        <f>P6*'Daftar HPP'!$G$13</f>
        <v>1200</v>
      </c>
      <c r="T6" s="141">
        <v>2</v>
      </c>
      <c r="U6" s="142" t="s">
        <v>271</v>
      </c>
      <c r="V6" s="141">
        <v>1</v>
      </c>
      <c r="W6" s="141" t="s">
        <v>118</v>
      </c>
      <c r="X6" s="143">
        <f>V6*'Daftar HPP'!$G$13</f>
        <v>1200</v>
      </c>
      <c r="Z6" s="141">
        <v>2</v>
      </c>
      <c r="AA6" s="142" t="s">
        <v>271</v>
      </c>
      <c r="AB6" s="141">
        <v>1</v>
      </c>
      <c r="AC6" s="141" t="s">
        <v>118</v>
      </c>
      <c r="AD6" s="143">
        <f>AB6*'Daftar HPP'!$G$13</f>
        <v>1200</v>
      </c>
      <c r="AF6" s="141">
        <v>2</v>
      </c>
      <c r="AG6" s="142" t="s">
        <v>271</v>
      </c>
      <c r="AH6" s="141">
        <v>1</v>
      </c>
      <c r="AI6" s="141" t="s">
        <v>118</v>
      </c>
      <c r="AJ6" s="143">
        <f>AH6*'Daftar HPP'!$G$13</f>
        <v>1200</v>
      </c>
    </row>
    <row r="7" spans="2:36" x14ac:dyDescent="0.45">
      <c r="B7" s="141">
        <v>3</v>
      </c>
      <c r="C7" s="142" t="s">
        <v>17</v>
      </c>
      <c r="D7" s="141">
        <v>30</v>
      </c>
      <c r="E7" s="141" t="s">
        <v>8</v>
      </c>
      <c r="F7" s="144">
        <f>D7*'Daftar HPP'!$F$152</f>
        <v>2093.9588100686497</v>
      </c>
      <c r="H7" s="141">
        <v>3</v>
      </c>
      <c r="I7" s="142" t="s">
        <v>25</v>
      </c>
      <c r="J7" s="141">
        <v>30</v>
      </c>
      <c r="K7" s="141" t="s">
        <v>8</v>
      </c>
      <c r="L7" s="144">
        <f>J7*'Daftar HPP'!$G$22</f>
        <v>1995</v>
      </c>
      <c r="N7" s="141">
        <v>3</v>
      </c>
      <c r="O7" s="142" t="s">
        <v>107</v>
      </c>
      <c r="P7" s="141">
        <v>30</v>
      </c>
      <c r="Q7" s="141" t="s">
        <v>8</v>
      </c>
      <c r="R7" s="144">
        <f>P7*'Daftar HPP'!$L$152</f>
        <v>2144.1036802532649</v>
      </c>
      <c r="T7" s="141">
        <v>3</v>
      </c>
      <c r="U7" s="142" t="s">
        <v>17</v>
      </c>
      <c r="V7" s="141">
        <v>30</v>
      </c>
      <c r="W7" s="141" t="s">
        <v>8</v>
      </c>
      <c r="X7" s="144">
        <f>V7*'Daftar HPP'!$F$152</f>
        <v>2093.9588100686497</v>
      </c>
      <c r="Z7" s="141">
        <v>3</v>
      </c>
      <c r="AA7" s="142" t="s">
        <v>25</v>
      </c>
      <c r="AB7" s="141">
        <v>30</v>
      </c>
      <c r="AC7" s="141" t="s">
        <v>8</v>
      </c>
      <c r="AD7" s="144">
        <f>AB7*'Daftar HPP'!$G$22</f>
        <v>1995</v>
      </c>
      <c r="AF7" s="141">
        <v>3</v>
      </c>
      <c r="AG7" s="142" t="s">
        <v>107</v>
      </c>
      <c r="AH7" s="141">
        <v>30</v>
      </c>
      <c r="AI7" s="141" t="s">
        <v>8</v>
      </c>
      <c r="AJ7" s="144">
        <f>AH7*'Daftar HPP'!$L$152</f>
        <v>2144.1036802532649</v>
      </c>
    </row>
    <row r="8" spans="2:36" x14ac:dyDescent="0.45">
      <c r="B8" s="141">
        <v>4</v>
      </c>
      <c r="C8" s="142" t="s">
        <v>25</v>
      </c>
      <c r="D8" s="141">
        <v>30</v>
      </c>
      <c r="E8" s="141" t="s">
        <v>8</v>
      </c>
      <c r="F8" s="144">
        <f>D8*'Daftar HPP'!$G$22</f>
        <v>1995</v>
      </c>
      <c r="H8" s="141">
        <v>4</v>
      </c>
      <c r="I8" s="142" t="s">
        <v>105</v>
      </c>
      <c r="J8" s="141">
        <v>30</v>
      </c>
      <c r="K8" s="141" t="s">
        <v>8</v>
      </c>
      <c r="L8" s="144">
        <f>J8*'Daftar HPP'!$F$143</f>
        <v>2146.3497453310692</v>
      </c>
      <c r="N8" s="141">
        <v>4</v>
      </c>
      <c r="O8" s="142" t="s">
        <v>26</v>
      </c>
      <c r="P8" s="141">
        <v>30</v>
      </c>
      <c r="Q8" s="141" t="s">
        <v>8</v>
      </c>
      <c r="R8" s="144">
        <f>P8*'Daftar HPP'!$L$143</f>
        <v>1647.4064221926658</v>
      </c>
      <c r="T8" s="141">
        <v>4</v>
      </c>
      <c r="U8" s="142" t="s">
        <v>25</v>
      </c>
      <c r="V8" s="141">
        <v>30</v>
      </c>
      <c r="W8" s="141" t="s">
        <v>8</v>
      </c>
      <c r="X8" s="144">
        <f>V8*'Daftar HPP'!$G$22</f>
        <v>1995</v>
      </c>
      <c r="Z8" s="141">
        <v>4</v>
      </c>
      <c r="AA8" s="142" t="s">
        <v>105</v>
      </c>
      <c r="AB8" s="141">
        <v>30</v>
      </c>
      <c r="AC8" s="141" t="s">
        <v>8</v>
      </c>
      <c r="AD8" s="144">
        <f>AB8*'Daftar HPP'!$F$143</f>
        <v>2146.3497453310692</v>
      </c>
      <c r="AF8" s="141">
        <v>4</v>
      </c>
      <c r="AG8" s="142" t="s">
        <v>26</v>
      </c>
      <c r="AH8" s="141">
        <v>30</v>
      </c>
      <c r="AI8" s="141" t="s">
        <v>8</v>
      </c>
      <c r="AJ8" s="144">
        <f>AH8*'Daftar HPP'!$L$143</f>
        <v>1647.4064221926658</v>
      </c>
    </row>
    <row r="9" spans="2:36" x14ac:dyDescent="0.45">
      <c r="B9" s="141">
        <v>5</v>
      </c>
      <c r="C9" s="142" t="s">
        <v>275</v>
      </c>
      <c r="D9" s="141">
        <v>1</v>
      </c>
      <c r="E9" s="141" t="s">
        <v>8</v>
      </c>
      <c r="F9" s="144">
        <f>D9*'Daftar HPP'!$G$34</f>
        <v>500</v>
      </c>
      <c r="H9" s="141">
        <v>5</v>
      </c>
      <c r="I9" s="142" t="s">
        <v>275</v>
      </c>
      <c r="J9" s="141">
        <v>1</v>
      </c>
      <c r="K9" s="141" t="s">
        <v>8</v>
      </c>
      <c r="L9" s="144">
        <f>J9*'Daftar HPP'!$G$34</f>
        <v>500</v>
      </c>
      <c r="N9" s="141">
        <v>5</v>
      </c>
      <c r="O9" s="142" t="s">
        <v>275</v>
      </c>
      <c r="P9" s="141">
        <v>1</v>
      </c>
      <c r="Q9" s="141" t="s">
        <v>8</v>
      </c>
      <c r="R9" s="144">
        <f>P9*'Daftar HPP'!$G$34</f>
        <v>500</v>
      </c>
      <c r="T9" s="141">
        <v>5</v>
      </c>
      <c r="U9" s="142" t="s">
        <v>275</v>
      </c>
      <c r="V9" s="141">
        <v>1</v>
      </c>
      <c r="W9" s="141" t="s">
        <v>8</v>
      </c>
      <c r="X9" s="144">
        <f>V9*'Daftar HPP'!$G$34</f>
        <v>500</v>
      </c>
      <c r="Z9" s="141">
        <v>5</v>
      </c>
      <c r="AA9" s="142" t="s">
        <v>275</v>
      </c>
      <c r="AB9" s="141">
        <v>1</v>
      </c>
      <c r="AC9" s="141" t="s">
        <v>8</v>
      </c>
      <c r="AD9" s="144">
        <f>AB9*'Daftar HPP'!$G$34</f>
        <v>500</v>
      </c>
      <c r="AF9" s="141">
        <v>5</v>
      </c>
      <c r="AG9" s="142" t="s">
        <v>275</v>
      </c>
      <c r="AH9" s="141">
        <v>1</v>
      </c>
      <c r="AI9" s="141" t="s">
        <v>8</v>
      </c>
      <c r="AJ9" s="144">
        <f>AH9*'Daftar HPP'!$G$34</f>
        <v>500</v>
      </c>
    </row>
    <row r="10" spans="2:36" x14ac:dyDescent="0.45">
      <c r="B10" s="141">
        <v>6</v>
      </c>
      <c r="C10" s="142" t="s">
        <v>251</v>
      </c>
      <c r="D10" s="141">
        <v>1</v>
      </c>
      <c r="E10" s="141" t="s">
        <v>28</v>
      </c>
      <c r="F10" s="144">
        <f>D10*'Daftar HPP'!$G$39</f>
        <v>1100</v>
      </c>
      <c r="H10" s="141">
        <v>6</v>
      </c>
      <c r="I10" s="142" t="s">
        <v>251</v>
      </c>
      <c r="J10" s="141">
        <v>1</v>
      </c>
      <c r="K10" s="141" t="s">
        <v>28</v>
      </c>
      <c r="L10" s="144">
        <f>J10*'Daftar HPP'!$G$39</f>
        <v>1100</v>
      </c>
      <c r="N10" s="141">
        <v>6</v>
      </c>
      <c r="O10" s="142" t="s">
        <v>251</v>
      </c>
      <c r="P10" s="141">
        <v>1</v>
      </c>
      <c r="Q10" s="141" t="s">
        <v>28</v>
      </c>
      <c r="R10" s="144">
        <f>P10*'Daftar HPP'!$G$39</f>
        <v>1100</v>
      </c>
      <c r="T10" s="141">
        <v>6</v>
      </c>
      <c r="U10" s="142" t="s">
        <v>251</v>
      </c>
      <c r="V10" s="141">
        <v>1</v>
      </c>
      <c r="W10" s="141" t="s">
        <v>28</v>
      </c>
      <c r="X10" s="144">
        <f>V10*'Daftar HPP'!$G$39</f>
        <v>1100</v>
      </c>
      <c r="Z10" s="141">
        <v>6</v>
      </c>
      <c r="AA10" s="142" t="s">
        <v>251</v>
      </c>
      <c r="AB10" s="141">
        <v>1</v>
      </c>
      <c r="AC10" s="141" t="s">
        <v>28</v>
      </c>
      <c r="AD10" s="144">
        <f>AB10*'Daftar HPP'!$G$39</f>
        <v>1100</v>
      </c>
      <c r="AF10" s="141">
        <v>6</v>
      </c>
      <c r="AG10" s="142" t="s">
        <v>251</v>
      </c>
      <c r="AH10" s="141">
        <v>1</v>
      </c>
      <c r="AI10" s="141" t="s">
        <v>28</v>
      </c>
      <c r="AJ10" s="144">
        <f>AH10*'Daftar HPP'!$G$39</f>
        <v>1100</v>
      </c>
    </row>
    <row r="11" spans="2:36" x14ac:dyDescent="0.45">
      <c r="B11" s="153"/>
      <c r="C11" s="150"/>
      <c r="D11" s="261" t="s">
        <v>53</v>
      </c>
      <c r="E11" s="261"/>
      <c r="F11" s="190">
        <f>SUM(F5:F10)</f>
        <v>11764.690389016017</v>
      </c>
      <c r="H11" s="153"/>
      <c r="I11" s="150"/>
      <c r="J11" s="261" t="s">
        <v>53</v>
      </c>
      <c r="K11" s="261"/>
      <c r="L11" s="190">
        <f>SUM(L5:L10)</f>
        <v>11817.081324278439</v>
      </c>
      <c r="N11" s="153"/>
      <c r="O11" s="150"/>
      <c r="P11" s="261" t="s">
        <v>53</v>
      </c>
      <c r="Q11" s="261"/>
      <c r="R11" s="190">
        <f>SUM(R5:R10)</f>
        <v>11467.2416813933</v>
      </c>
      <c r="T11" s="153"/>
      <c r="U11" s="150"/>
      <c r="V11" s="261" t="s">
        <v>53</v>
      </c>
      <c r="W11" s="261"/>
      <c r="X11" s="190">
        <f>SUM(X5:X10)</f>
        <v>16640.421967963386</v>
      </c>
      <c r="Z11" s="153"/>
      <c r="AA11" s="150"/>
      <c r="AB11" s="261" t="s">
        <v>53</v>
      </c>
      <c r="AC11" s="261"/>
      <c r="AD11" s="190">
        <f>SUM(AD5:AD10)</f>
        <v>16692.812903225808</v>
      </c>
      <c r="AF11" s="153"/>
      <c r="AG11" s="150"/>
      <c r="AH11" s="261" t="s">
        <v>53</v>
      </c>
      <c r="AI11" s="261"/>
      <c r="AJ11" s="190">
        <f>SUM(AJ5:AJ10)</f>
        <v>16342.973260340668</v>
      </c>
    </row>
    <row r="12" spans="2:36" x14ac:dyDescent="0.45">
      <c r="B12" s="153"/>
      <c r="C12" s="153"/>
      <c r="D12" s="256" t="s">
        <v>116</v>
      </c>
      <c r="E12" s="256"/>
      <c r="F12" s="147">
        <v>23000</v>
      </c>
      <c r="H12" s="153"/>
      <c r="I12" s="153"/>
      <c r="J12" s="256" t="s">
        <v>116</v>
      </c>
      <c r="K12" s="256"/>
      <c r="L12" s="147">
        <v>23000</v>
      </c>
      <c r="N12" s="153"/>
      <c r="O12" s="153"/>
      <c r="P12" s="256" t="s">
        <v>116</v>
      </c>
      <c r="Q12" s="256"/>
      <c r="R12" s="147">
        <v>23000</v>
      </c>
      <c r="T12" s="153"/>
      <c r="U12" s="153"/>
      <c r="V12" s="256" t="s">
        <v>116</v>
      </c>
      <c r="W12" s="256"/>
      <c r="X12" s="147">
        <v>32000</v>
      </c>
      <c r="Z12" s="153"/>
      <c r="AA12" s="153"/>
      <c r="AB12" s="256" t="s">
        <v>116</v>
      </c>
      <c r="AC12" s="256"/>
      <c r="AD12" s="147">
        <v>32000</v>
      </c>
      <c r="AF12" s="153"/>
      <c r="AG12" s="153"/>
      <c r="AH12" s="256" t="s">
        <v>116</v>
      </c>
      <c r="AI12" s="256"/>
      <c r="AJ12" s="147">
        <v>32000</v>
      </c>
    </row>
    <row r="13" spans="2:36" x14ac:dyDescent="0.45">
      <c r="B13" s="153"/>
      <c r="C13" s="153"/>
      <c r="D13" s="256" t="s">
        <v>119</v>
      </c>
      <c r="E13" s="256"/>
      <c r="F13" s="148">
        <f>F12-F11</f>
        <v>11235.309610983983</v>
      </c>
      <c r="H13" s="153"/>
      <c r="I13" s="153"/>
      <c r="J13" s="256" t="s">
        <v>119</v>
      </c>
      <c r="K13" s="256"/>
      <c r="L13" s="148">
        <f>L12-L11</f>
        <v>11182.918675721561</v>
      </c>
      <c r="N13" s="153"/>
      <c r="O13" s="153"/>
      <c r="P13" s="256" t="s">
        <v>119</v>
      </c>
      <c r="Q13" s="256"/>
      <c r="R13" s="148">
        <f>R12-R11</f>
        <v>11532.7583186067</v>
      </c>
      <c r="T13" s="153"/>
      <c r="U13" s="153"/>
      <c r="V13" s="256" t="s">
        <v>119</v>
      </c>
      <c r="W13" s="256"/>
      <c r="X13" s="148">
        <f>X12-X11</f>
        <v>15359.578032036614</v>
      </c>
      <c r="Z13" s="153"/>
      <c r="AA13" s="153"/>
      <c r="AB13" s="256" t="s">
        <v>119</v>
      </c>
      <c r="AC13" s="256"/>
      <c r="AD13" s="148">
        <f>AD12-AD11</f>
        <v>15307.187096774192</v>
      </c>
      <c r="AF13" s="153"/>
      <c r="AG13" s="153"/>
      <c r="AH13" s="256" t="s">
        <v>119</v>
      </c>
      <c r="AI13" s="256"/>
      <c r="AJ13" s="148">
        <f>AJ12-AJ11</f>
        <v>15657.026739659332</v>
      </c>
    </row>
    <row r="15" spans="2:36" ht="14.65" thickBot="1" x14ac:dyDescent="0.5">
      <c r="B15" s="2" t="s">
        <v>256</v>
      </c>
      <c r="H15" s="2" t="s">
        <v>260</v>
      </c>
      <c r="N15" s="2" t="s">
        <v>307</v>
      </c>
      <c r="T15" s="2" t="s">
        <v>256</v>
      </c>
      <c r="Z15" s="2" t="s">
        <v>260</v>
      </c>
      <c r="AF15" s="2" t="s">
        <v>307</v>
      </c>
    </row>
    <row r="16" spans="2:36" x14ac:dyDescent="0.45">
      <c r="B16" s="119" t="s">
        <v>0</v>
      </c>
      <c r="C16" s="119" t="s">
        <v>49</v>
      </c>
      <c r="D16" s="119" t="s">
        <v>34</v>
      </c>
      <c r="E16" s="119" t="s">
        <v>50</v>
      </c>
      <c r="F16" s="119" t="s">
        <v>36</v>
      </c>
      <c r="H16" s="119" t="s">
        <v>0</v>
      </c>
      <c r="I16" s="119" t="s">
        <v>49</v>
      </c>
      <c r="J16" s="119" t="s">
        <v>34</v>
      </c>
      <c r="K16" s="119" t="s">
        <v>50</v>
      </c>
      <c r="L16" s="119" t="s">
        <v>36</v>
      </c>
      <c r="N16" s="119" t="s">
        <v>0</v>
      </c>
      <c r="O16" s="119" t="s">
        <v>49</v>
      </c>
      <c r="P16" s="119" t="s">
        <v>34</v>
      </c>
      <c r="Q16" s="119" t="s">
        <v>50</v>
      </c>
      <c r="R16" s="119" t="s">
        <v>36</v>
      </c>
      <c r="T16" s="119" t="s">
        <v>0</v>
      </c>
      <c r="U16" s="119" t="s">
        <v>49</v>
      </c>
      <c r="V16" s="119" t="s">
        <v>34</v>
      </c>
      <c r="W16" s="119" t="s">
        <v>50</v>
      </c>
      <c r="X16" s="119" t="s">
        <v>36</v>
      </c>
      <c r="Z16" s="119" t="s">
        <v>0</v>
      </c>
      <c r="AA16" s="119" t="s">
        <v>49</v>
      </c>
      <c r="AB16" s="119" t="s">
        <v>34</v>
      </c>
      <c r="AC16" s="119" t="s">
        <v>50</v>
      </c>
      <c r="AD16" s="119" t="s">
        <v>36</v>
      </c>
      <c r="AF16" s="119" t="s">
        <v>0</v>
      </c>
      <c r="AG16" s="119" t="s">
        <v>49</v>
      </c>
      <c r="AH16" s="119" t="s">
        <v>34</v>
      </c>
      <c r="AI16" s="119" t="s">
        <v>50</v>
      </c>
      <c r="AJ16" s="119" t="s">
        <v>36</v>
      </c>
    </row>
    <row r="17" spans="2:36" x14ac:dyDescent="0.45">
      <c r="B17" s="141">
        <v>1</v>
      </c>
      <c r="C17" s="142" t="s">
        <v>112</v>
      </c>
      <c r="D17" s="141">
        <v>1</v>
      </c>
      <c r="E17" s="141" t="s">
        <v>6</v>
      </c>
      <c r="F17" s="143">
        <f>D17*'Daftar HPP'!$L$57</f>
        <v>4875.7315789473687</v>
      </c>
      <c r="H17" s="141">
        <v>1</v>
      </c>
      <c r="I17" s="142" t="s">
        <v>112</v>
      </c>
      <c r="J17" s="141">
        <v>1</v>
      </c>
      <c r="K17" s="141" t="s">
        <v>6</v>
      </c>
      <c r="L17" s="143">
        <f>J17*'Daftar HPP'!$L$57</f>
        <v>4875.7315789473687</v>
      </c>
      <c r="N17" s="141">
        <v>1</v>
      </c>
      <c r="O17" s="142" t="s">
        <v>112</v>
      </c>
      <c r="P17" s="141">
        <v>1</v>
      </c>
      <c r="Q17" s="141" t="s">
        <v>6</v>
      </c>
      <c r="R17" s="143">
        <f>P17*'Daftar HPP'!$L$57</f>
        <v>4875.7315789473687</v>
      </c>
      <c r="T17" s="141">
        <v>1</v>
      </c>
      <c r="U17" s="142" t="s">
        <v>112</v>
      </c>
      <c r="V17" s="141">
        <v>2</v>
      </c>
      <c r="W17" s="141" t="s">
        <v>6</v>
      </c>
      <c r="X17" s="143">
        <f>V17*'Daftar HPP'!$L$57</f>
        <v>9751.4631578947374</v>
      </c>
      <c r="Z17" s="141">
        <v>1</v>
      </c>
      <c r="AA17" s="142" t="s">
        <v>112</v>
      </c>
      <c r="AB17" s="141">
        <v>2</v>
      </c>
      <c r="AC17" s="141" t="s">
        <v>6</v>
      </c>
      <c r="AD17" s="143">
        <f>AB17*'Daftar HPP'!$L$57</f>
        <v>9751.4631578947374</v>
      </c>
      <c r="AF17" s="141">
        <v>1</v>
      </c>
      <c r="AG17" s="142" t="s">
        <v>112</v>
      </c>
      <c r="AH17" s="141">
        <v>2</v>
      </c>
      <c r="AI17" s="141" t="s">
        <v>6</v>
      </c>
      <c r="AJ17" s="143">
        <f>AH17*'Daftar HPP'!$L$57</f>
        <v>9751.4631578947374</v>
      </c>
    </row>
    <row r="18" spans="2:36" x14ac:dyDescent="0.45">
      <c r="B18" s="141">
        <v>2</v>
      </c>
      <c r="C18" s="142" t="s">
        <v>271</v>
      </c>
      <c r="D18" s="141">
        <v>1</v>
      </c>
      <c r="E18" s="141" t="s">
        <v>118</v>
      </c>
      <c r="F18" s="143">
        <f>D18*'Daftar HPP'!$G$13</f>
        <v>1200</v>
      </c>
      <c r="H18" s="141">
        <v>2</v>
      </c>
      <c r="I18" s="142" t="s">
        <v>271</v>
      </c>
      <c r="J18" s="141">
        <v>1</v>
      </c>
      <c r="K18" s="141" t="s">
        <v>118</v>
      </c>
      <c r="L18" s="143">
        <f>J18*'Daftar HPP'!$G$13</f>
        <v>1200</v>
      </c>
      <c r="N18" s="141">
        <v>2</v>
      </c>
      <c r="O18" s="142" t="s">
        <v>271</v>
      </c>
      <c r="P18" s="141">
        <v>1</v>
      </c>
      <c r="Q18" s="141" t="s">
        <v>118</v>
      </c>
      <c r="R18" s="143">
        <f>P18*'Daftar HPP'!$G$13</f>
        <v>1200</v>
      </c>
      <c r="T18" s="141">
        <v>2</v>
      </c>
      <c r="U18" s="142" t="s">
        <v>271</v>
      </c>
      <c r="V18" s="141">
        <v>1</v>
      </c>
      <c r="W18" s="141" t="s">
        <v>118</v>
      </c>
      <c r="X18" s="143">
        <f>V18*'Daftar HPP'!$G$13</f>
        <v>1200</v>
      </c>
      <c r="Z18" s="141">
        <v>2</v>
      </c>
      <c r="AA18" s="142" t="s">
        <v>271</v>
      </c>
      <c r="AB18" s="141">
        <v>1</v>
      </c>
      <c r="AC18" s="141" t="s">
        <v>118</v>
      </c>
      <c r="AD18" s="143">
        <f>AB18*'Daftar HPP'!$G$13</f>
        <v>1200</v>
      </c>
      <c r="AF18" s="141">
        <v>2</v>
      </c>
      <c r="AG18" s="142" t="s">
        <v>271</v>
      </c>
      <c r="AH18" s="141">
        <v>1</v>
      </c>
      <c r="AI18" s="141" t="s">
        <v>118</v>
      </c>
      <c r="AJ18" s="143">
        <f>AH18*'Daftar HPP'!$G$13</f>
        <v>1200</v>
      </c>
    </row>
    <row r="19" spans="2:36" x14ac:dyDescent="0.45">
      <c r="B19" s="141">
        <v>3</v>
      </c>
      <c r="C19" s="142" t="s">
        <v>17</v>
      </c>
      <c r="D19" s="141">
        <v>30</v>
      </c>
      <c r="E19" s="141" t="s">
        <v>8</v>
      </c>
      <c r="F19" s="144">
        <f>D19*'Daftar HPP'!$F$152</f>
        <v>2093.9588100686497</v>
      </c>
      <c r="H19" s="141">
        <v>3</v>
      </c>
      <c r="I19" s="142" t="s">
        <v>25</v>
      </c>
      <c r="J19" s="141">
        <v>30</v>
      </c>
      <c r="K19" s="141" t="s">
        <v>8</v>
      </c>
      <c r="L19" s="144">
        <f>J19*'Daftar HPP'!$G$22</f>
        <v>1995</v>
      </c>
      <c r="N19" s="141">
        <v>3</v>
      </c>
      <c r="O19" s="142" t="s">
        <v>105</v>
      </c>
      <c r="P19" s="141">
        <v>30</v>
      </c>
      <c r="Q19" s="141" t="s">
        <v>8</v>
      </c>
      <c r="R19" s="144">
        <f>P19*'Daftar HPP'!$F$143</f>
        <v>2146.3497453310692</v>
      </c>
      <c r="T19" s="141">
        <v>3</v>
      </c>
      <c r="U19" s="142" t="s">
        <v>17</v>
      </c>
      <c r="V19" s="141">
        <v>30</v>
      </c>
      <c r="W19" s="141" t="s">
        <v>8</v>
      </c>
      <c r="X19" s="144">
        <f>V19*'Daftar HPP'!$F$152</f>
        <v>2093.9588100686497</v>
      </c>
      <c r="Z19" s="141">
        <v>3</v>
      </c>
      <c r="AA19" s="142" t="s">
        <v>25</v>
      </c>
      <c r="AB19" s="141">
        <v>30</v>
      </c>
      <c r="AC19" s="141" t="s">
        <v>8</v>
      </c>
      <c r="AD19" s="144">
        <f>AB19*'Daftar HPP'!$G$22</f>
        <v>1995</v>
      </c>
      <c r="AF19" s="141">
        <v>3</v>
      </c>
      <c r="AG19" s="142" t="s">
        <v>105</v>
      </c>
      <c r="AH19" s="141">
        <v>30</v>
      </c>
      <c r="AI19" s="141" t="s">
        <v>8</v>
      </c>
      <c r="AJ19" s="144">
        <f>AH19*'Daftar HPP'!$F$143</f>
        <v>2146.3497453310692</v>
      </c>
    </row>
    <row r="20" spans="2:36" x14ac:dyDescent="0.45">
      <c r="B20" s="141">
        <v>4</v>
      </c>
      <c r="C20" s="142" t="s">
        <v>105</v>
      </c>
      <c r="D20" s="141">
        <v>30</v>
      </c>
      <c r="E20" s="141" t="s">
        <v>8</v>
      </c>
      <c r="F20" s="144">
        <f>D20*'Daftar HPP'!$F$143</f>
        <v>2146.3497453310692</v>
      </c>
      <c r="H20" s="141">
        <v>4</v>
      </c>
      <c r="I20" s="142" t="s">
        <v>107</v>
      </c>
      <c r="J20" s="141">
        <v>30</v>
      </c>
      <c r="K20" s="141" t="s">
        <v>8</v>
      </c>
      <c r="L20" s="144">
        <f>J20*'Daftar HPP'!$L$152</f>
        <v>2144.1036802532649</v>
      </c>
      <c r="N20" s="141">
        <v>4</v>
      </c>
      <c r="O20" s="142" t="s">
        <v>26</v>
      </c>
      <c r="P20" s="141">
        <v>30</v>
      </c>
      <c r="Q20" s="141" t="s">
        <v>8</v>
      </c>
      <c r="R20" s="144">
        <f>P20*'Daftar HPP'!$L$143</f>
        <v>1647.4064221926658</v>
      </c>
      <c r="T20" s="141">
        <v>4</v>
      </c>
      <c r="U20" s="142" t="s">
        <v>105</v>
      </c>
      <c r="V20" s="141">
        <v>30</v>
      </c>
      <c r="W20" s="141" t="s">
        <v>8</v>
      </c>
      <c r="X20" s="144">
        <f>V20*'Daftar HPP'!$F$143</f>
        <v>2146.3497453310692</v>
      </c>
      <c r="Z20" s="141">
        <v>4</v>
      </c>
      <c r="AA20" s="142" t="s">
        <v>107</v>
      </c>
      <c r="AB20" s="141">
        <v>30</v>
      </c>
      <c r="AC20" s="141" t="s">
        <v>8</v>
      </c>
      <c r="AD20" s="144">
        <f>AB20*'Daftar HPP'!$L$152</f>
        <v>2144.1036802532649</v>
      </c>
      <c r="AF20" s="141">
        <v>4</v>
      </c>
      <c r="AG20" s="142" t="s">
        <v>26</v>
      </c>
      <c r="AH20" s="141">
        <v>30</v>
      </c>
      <c r="AI20" s="141" t="s">
        <v>8</v>
      </c>
      <c r="AJ20" s="144">
        <f>AH20*'Daftar HPP'!$L$143</f>
        <v>1647.4064221926658</v>
      </c>
    </row>
    <row r="21" spans="2:36" x14ac:dyDescent="0.45">
      <c r="B21" s="141">
        <v>5</v>
      </c>
      <c r="C21" s="142" t="s">
        <v>275</v>
      </c>
      <c r="D21" s="141">
        <v>1</v>
      </c>
      <c r="E21" s="141" t="s">
        <v>8</v>
      </c>
      <c r="F21" s="144">
        <f>D21*'Daftar HPP'!$G$34</f>
        <v>500</v>
      </c>
      <c r="H21" s="141">
        <v>5</v>
      </c>
      <c r="I21" s="142" t="s">
        <v>275</v>
      </c>
      <c r="J21" s="141">
        <v>1</v>
      </c>
      <c r="K21" s="141" t="s">
        <v>8</v>
      </c>
      <c r="L21" s="144">
        <f>J21*'Daftar HPP'!$G$34</f>
        <v>500</v>
      </c>
      <c r="N21" s="141">
        <v>5</v>
      </c>
      <c r="O21" s="142" t="s">
        <v>275</v>
      </c>
      <c r="P21" s="141">
        <v>1</v>
      </c>
      <c r="Q21" s="141" t="s">
        <v>8</v>
      </c>
      <c r="R21" s="144">
        <f>P21*'Daftar HPP'!$G$34</f>
        <v>500</v>
      </c>
      <c r="T21" s="141">
        <v>5</v>
      </c>
      <c r="U21" s="142" t="s">
        <v>275</v>
      </c>
      <c r="V21" s="141">
        <v>1</v>
      </c>
      <c r="W21" s="141" t="s">
        <v>8</v>
      </c>
      <c r="X21" s="144">
        <f>V21*'Daftar HPP'!$G$34</f>
        <v>500</v>
      </c>
      <c r="Z21" s="141">
        <v>5</v>
      </c>
      <c r="AA21" s="142" t="s">
        <v>275</v>
      </c>
      <c r="AB21" s="141">
        <v>1</v>
      </c>
      <c r="AC21" s="141" t="s">
        <v>8</v>
      </c>
      <c r="AD21" s="144">
        <f>AB21*'Daftar HPP'!$G$34</f>
        <v>500</v>
      </c>
      <c r="AF21" s="141">
        <v>5</v>
      </c>
      <c r="AG21" s="142" t="s">
        <v>275</v>
      </c>
      <c r="AH21" s="141">
        <v>1</v>
      </c>
      <c r="AI21" s="141" t="s">
        <v>8</v>
      </c>
      <c r="AJ21" s="144">
        <f>AH21*'Daftar HPP'!$G$34</f>
        <v>500</v>
      </c>
    </row>
    <row r="22" spans="2:36" x14ac:dyDescent="0.45">
      <c r="B22" s="141">
        <v>6</v>
      </c>
      <c r="C22" s="142" t="s">
        <v>251</v>
      </c>
      <c r="D22" s="141">
        <v>1</v>
      </c>
      <c r="E22" s="141" t="s">
        <v>28</v>
      </c>
      <c r="F22" s="144">
        <f>D22*'Daftar HPP'!$G$39</f>
        <v>1100</v>
      </c>
      <c r="H22" s="141">
        <v>6</v>
      </c>
      <c r="I22" s="142" t="s">
        <v>251</v>
      </c>
      <c r="J22" s="141">
        <v>1</v>
      </c>
      <c r="K22" s="141" t="s">
        <v>28</v>
      </c>
      <c r="L22" s="144">
        <f>J22*'Daftar HPP'!$G$39</f>
        <v>1100</v>
      </c>
      <c r="N22" s="141">
        <v>6</v>
      </c>
      <c r="O22" s="142" t="s">
        <v>251</v>
      </c>
      <c r="P22" s="141">
        <v>1</v>
      </c>
      <c r="Q22" s="141" t="s">
        <v>28</v>
      </c>
      <c r="R22" s="144">
        <f>P22*'Daftar HPP'!$G$39</f>
        <v>1100</v>
      </c>
      <c r="T22" s="141">
        <v>6</v>
      </c>
      <c r="U22" s="142" t="s">
        <v>251</v>
      </c>
      <c r="V22" s="141">
        <v>1</v>
      </c>
      <c r="W22" s="141" t="s">
        <v>28</v>
      </c>
      <c r="X22" s="144">
        <f>V22*'Daftar HPP'!$G$39</f>
        <v>1100</v>
      </c>
      <c r="Z22" s="141">
        <v>6</v>
      </c>
      <c r="AA22" s="142" t="s">
        <v>251</v>
      </c>
      <c r="AB22" s="141">
        <v>1</v>
      </c>
      <c r="AC22" s="141" t="s">
        <v>28</v>
      </c>
      <c r="AD22" s="144">
        <f>AB22*'Daftar HPP'!$G$39</f>
        <v>1100</v>
      </c>
      <c r="AF22" s="141">
        <v>6</v>
      </c>
      <c r="AG22" s="142" t="s">
        <v>251</v>
      </c>
      <c r="AH22" s="141">
        <v>1</v>
      </c>
      <c r="AI22" s="141" t="s">
        <v>28</v>
      </c>
      <c r="AJ22" s="144">
        <f>AH22*'Daftar HPP'!$G$39</f>
        <v>1100</v>
      </c>
    </row>
    <row r="23" spans="2:36" x14ac:dyDescent="0.45">
      <c r="B23" s="153"/>
      <c r="C23" s="150"/>
      <c r="D23" s="261" t="s">
        <v>53</v>
      </c>
      <c r="E23" s="261"/>
      <c r="F23" s="190">
        <f>SUM(F17:F22)</f>
        <v>11916.040134347088</v>
      </c>
      <c r="H23" s="153"/>
      <c r="I23" s="150"/>
      <c r="J23" s="261" t="s">
        <v>53</v>
      </c>
      <c r="K23" s="261"/>
      <c r="L23" s="190">
        <f>SUM(L17:L22)</f>
        <v>11814.835259200634</v>
      </c>
      <c r="N23" s="153"/>
      <c r="O23" s="150"/>
      <c r="P23" s="261" t="s">
        <v>53</v>
      </c>
      <c r="Q23" s="261"/>
      <c r="R23" s="190">
        <f>SUM(R17:R22)</f>
        <v>11469.487746471104</v>
      </c>
      <c r="T23" s="153"/>
      <c r="U23" s="150"/>
      <c r="V23" s="261" t="s">
        <v>53</v>
      </c>
      <c r="W23" s="261"/>
      <c r="X23" s="190">
        <f>SUM(X17:X22)</f>
        <v>16791.771713294456</v>
      </c>
      <c r="Z23" s="153"/>
      <c r="AA23" s="150"/>
      <c r="AB23" s="261" t="s">
        <v>53</v>
      </c>
      <c r="AC23" s="261"/>
      <c r="AD23" s="190">
        <f>SUM(AD17:AD22)</f>
        <v>16690.566838148003</v>
      </c>
      <c r="AF23" s="153"/>
      <c r="AG23" s="150"/>
      <c r="AH23" s="261" t="s">
        <v>53</v>
      </c>
      <c r="AI23" s="261"/>
      <c r="AJ23" s="190">
        <f>SUM(AJ17:AJ22)</f>
        <v>16345.219325418473</v>
      </c>
    </row>
    <row r="24" spans="2:36" x14ac:dyDescent="0.45">
      <c r="B24" s="153"/>
      <c r="C24" s="153"/>
      <c r="D24" s="256" t="s">
        <v>116</v>
      </c>
      <c r="E24" s="256"/>
      <c r="F24" s="147">
        <v>23000</v>
      </c>
      <c r="H24" s="153"/>
      <c r="I24" s="153"/>
      <c r="J24" s="256" t="s">
        <v>116</v>
      </c>
      <c r="K24" s="256"/>
      <c r="L24" s="147">
        <v>23000</v>
      </c>
      <c r="N24" s="153"/>
      <c r="O24" s="153"/>
      <c r="P24" s="256" t="s">
        <v>116</v>
      </c>
      <c r="Q24" s="256"/>
      <c r="R24" s="147">
        <v>23000</v>
      </c>
      <c r="T24" s="153"/>
      <c r="U24" s="153"/>
      <c r="V24" s="256" t="s">
        <v>116</v>
      </c>
      <c r="W24" s="256"/>
      <c r="X24" s="147">
        <v>32000</v>
      </c>
      <c r="Z24" s="153"/>
      <c r="AA24" s="153"/>
      <c r="AB24" s="256" t="s">
        <v>116</v>
      </c>
      <c r="AC24" s="256"/>
      <c r="AD24" s="147">
        <v>32000</v>
      </c>
      <c r="AF24" s="153"/>
      <c r="AG24" s="153"/>
      <c r="AH24" s="256" t="s">
        <v>116</v>
      </c>
      <c r="AI24" s="256"/>
      <c r="AJ24" s="147">
        <v>32000</v>
      </c>
    </row>
    <row r="25" spans="2:36" x14ac:dyDescent="0.45">
      <c r="B25" s="153"/>
      <c r="C25" s="153"/>
      <c r="D25" s="256" t="s">
        <v>119</v>
      </c>
      <c r="E25" s="256"/>
      <c r="F25" s="148">
        <f>F24-F23</f>
        <v>11083.959865652912</v>
      </c>
      <c r="H25" s="153"/>
      <c r="I25" s="153"/>
      <c r="J25" s="256" t="s">
        <v>119</v>
      </c>
      <c r="K25" s="256"/>
      <c r="L25" s="148">
        <f>L24-L23</f>
        <v>11185.164740799366</v>
      </c>
      <c r="N25" s="153"/>
      <c r="O25" s="153"/>
      <c r="P25" s="256" t="s">
        <v>119</v>
      </c>
      <c r="Q25" s="256"/>
      <c r="R25" s="148">
        <f>R24-R23</f>
        <v>11530.512253528896</v>
      </c>
      <c r="T25" s="153"/>
      <c r="U25" s="153"/>
      <c r="V25" s="256" t="s">
        <v>119</v>
      </c>
      <c r="W25" s="256"/>
      <c r="X25" s="148">
        <f>X24-X23</f>
        <v>15208.228286705544</v>
      </c>
      <c r="Z25" s="153"/>
      <c r="AA25" s="153"/>
      <c r="AB25" s="256" t="s">
        <v>119</v>
      </c>
      <c r="AC25" s="256"/>
      <c r="AD25" s="148">
        <f>AD24-AD23</f>
        <v>15309.433161851997</v>
      </c>
      <c r="AF25" s="153"/>
      <c r="AG25" s="153"/>
      <c r="AH25" s="256" t="s">
        <v>119</v>
      </c>
      <c r="AI25" s="256"/>
      <c r="AJ25" s="148">
        <f>AJ24-AJ23</f>
        <v>15654.780674581527</v>
      </c>
    </row>
    <row r="26" spans="2:36" x14ac:dyDescent="0.45">
      <c r="Z26" s="153"/>
      <c r="AA26" s="153"/>
      <c r="AB26" s="206"/>
      <c r="AC26" s="206"/>
      <c r="AD26" s="157"/>
    </row>
    <row r="27" spans="2:36" ht="14.65" thickBot="1" x14ac:dyDescent="0.5">
      <c r="B27" s="2" t="s">
        <v>257</v>
      </c>
      <c r="H27" s="2" t="s">
        <v>261</v>
      </c>
      <c r="T27" s="2" t="s">
        <v>257</v>
      </c>
      <c r="Z27" s="2" t="s">
        <v>261</v>
      </c>
    </row>
    <row r="28" spans="2:36" x14ac:dyDescent="0.45">
      <c r="B28" s="119" t="s">
        <v>0</v>
      </c>
      <c r="C28" s="119" t="s">
        <v>49</v>
      </c>
      <c r="D28" s="119" t="s">
        <v>34</v>
      </c>
      <c r="E28" s="119" t="s">
        <v>50</v>
      </c>
      <c r="F28" s="119" t="s">
        <v>36</v>
      </c>
      <c r="H28" s="119" t="s">
        <v>0</v>
      </c>
      <c r="I28" s="119" t="s">
        <v>49</v>
      </c>
      <c r="J28" s="119" t="s">
        <v>34</v>
      </c>
      <c r="K28" s="119" t="s">
        <v>50</v>
      </c>
      <c r="L28" s="119" t="s">
        <v>36</v>
      </c>
      <c r="T28" s="119" t="s">
        <v>0</v>
      </c>
      <c r="U28" s="119" t="s">
        <v>49</v>
      </c>
      <c r="V28" s="119" t="s">
        <v>34</v>
      </c>
      <c r="W28" s="119" t="s">
        <v>50</v>
      </c>
      <c r="X28" s="119" t="s">
        <v>36</v>
      </c>
      <c r="Z28" s="119" t="s">
        <v>0</v>
      </c>
      <c r="AA28" s="119" t="s">
        <v>49</v>
      </c>
      <c r="AB28" s="119" t="s">
        <v>34</v>
      </c>
      <c r="AC28" s="119" t="s">
        <v>50</v>
      </c>
      <c r="AD28" s="119" t="s">
        <v>36</v>
      </c>
    </row>
    <row r="29" spans="2:36" x14ac:dyDescent="0.45">
      <c r="B29" s="141">
        <v>1</v>
      </c>
      <c r="C29" s="142" t="s">
        <v>112</v>
      </c>
      <c r="D29" s="141">
        <v>1</v>
      </c>
      <c r="E29" s="141" t="s">
        <v>6</v>
      </c>
      <c r="F29" s="143">
        <f>D29*'Daftar HPP'!$L$57</f>
        <v>4875.7315789473687</v>
      </c>
      <c r="H29" s="141">
        <v>1</v>
      </c>
      <c r="I29" s="142" t="s">
        <v>112</v>
      </c>
      <c r="J29" s="141">
        <v>1</v>
      </c>
      <c r="K29" s="141" t="s">
        <v>6</v>
      </c>
      <c r="L29" s="143">
        <f>J29*'Daftar HPP'!$L$57</f>
        <v>4875.7315789473687</v>
      </c>
      <c r="T29" s="141">
        <v>1</v>
      </c>
      <c r="U29" s="142" t="s">
        <v>112</v>
      </c>
      <c r="V29" s="141">
        <v>2</v>
      </c>
      <c r="W29" s="141" t="s">
        <v>6</v>
      </c>
      <c r="X29" s="143">
        <f>V29*'Daftar HPP'!$L$57</f>
        <v>9751.4631578947374</v>
      </c>
      <c r="Z29" s="141">
        <v>1</v>
      </c>
      <c r="AA29" s="142" t="s">
        <v>112</v>
      </c>
      <c r="AB29" s="141">
        <v>2</v>
      </c>
      <c r="AC29" s="141" t="s">
        <v>6</v>
      </c>
      <c r="AD29" s="143">
        <f>AB29*'Daftar HPP'!$L$57</f>
        <v>9751.4631578947374</v>
      </c>
    </row>
    <row r="30" spans="2:36" x14ac:dyDescent="0.45">
      <c r="B30" s="141">
        <v>2</v>
      </c>
      <c r="C30" s="142" t="s">
        <v>271</v>
      </c>
      <c r="D30" s="141">
        <v>1</v>
      </c>
      <c r="E30" s="141" t="s">
        <v>118</v>
      </c>
      <c r="F30" s="143">
        <f>D30*'Daftar HPP'!$G$13</f>
        <v>1200</v>
      </c>
      <c r="H30" s="141">
        <v>2</v>
      </c>
      <c r="I30" s="142" t="s">
        <v>271</v>
      </c>
      <c r="J30" s="141">
        <v>1</v>
      </c>
      <c r="K30" s="141" t="s">
        <v>118</v>
      </c>
      <c r="L30" s="143">
        <f>J30*'Daftar HPP'!$G$13</f>
        <v>1200</v>
      </c>
      <c r="T30" s="141">
        <v>2</v>
      </c>
      <c r="U30" s="142" t="s">
        <v>271</v>
      </c>
      <c r="V30" s="141">
        <v>1</v>
      </c>
      <c r="W30" s="141" t="s">
        <v>118</v>
      </c>
      <c r="X30" s="143">
        <f>V30*'Daftar HPP'!$G$13</f>
        <v>1200</v>
      </c>
      <c r="Z30" s="141">
        <v>2</v>
      </c>
      <c r="AA30" s="142" t="s">
        <v>271</v>
      </c>
      <c r="AB30" s="141">
        <v>1</v>
      </c>
      <c r="AC30" s="141" t="s">
        <v>118</v>
      </c>
      <c r="AD30" s="143">
        <f>AB30*'Daftar HPP'!$G$13</f>
        <v>1200</v>
      </c>
    </row>
    <row r="31" spans="2:36" x14ac:dyDescent="0.45">
      <c r="B31" s="141">
        <v>3</v>
      </c>
      <c r="C31" s="142" t="s">
        <v>17</v>
      </c>
      <c r="D31" s="141">
        <v>30</v>
      </c>
      <c r="E31" s="141" t="s">
        <v>8</v>
      </c>
      <c r="F31" s="144">
        <f>D31*'Daftar HPP'!$F$152</f>
        <v>2093.9588100686497</v>
      </c>
      <c r="H31" s="141">
        <v>3</v>
      </c>
      <c r="I31" s="142" t="s">
        <v>25</v>
      </c>
      <c r="J31" s="141">
        <v>30</v>
      </c>
      <c r="K31" s="141" t="s">
        <v>8</v>
      </c>
      <c r="L31" s="144">
        <f>J31*'Daftar HPP'!$G$22</f>
        <v>1995</v>
      </c>
      <c r="T31" s="141">
        <v>3</v>
      </c>
      <c r="U31" s="142" t="s">
        <v>17</v>
      </c>
      <c r="V31" s="141">
        <v>30</v>
      </c>
      <c r="W31" s="141" t="s">
        <v>8</v>
      </c>
      <c r="X31" s="144">
        <f>V31*'Daftar HPP'!$F$152</f>
        <v>2093.9588100686497</v>
      </c>
      <c r="Z31" s="141">
        <v>3</v>
      </c>
      <c r="AA31" s="142" t="s">
        <v>25</v>
      </c>
      <c r="AB31" s="141">
        <v>30</v>
      </c>
      <c r="AC31" s="141" t="s">
        <v>8</v>
      </c>
      <c r="AD31" s="144">
        <f>AB31*'Daftar HPP'!$G$22</f>
        <v>1995</v>
      </c>
    </row>
    <row r="32" spans="2:36" x14ac:dyDescent="0.45">
      <c r="B32" s="141">
        <v>4</v>
      </c>
      <c r="C32" s="142" t="s">
        <v>107</v>
      </c>
      <c r="D32" s="141">
        <v>30</v>
      </c>
      <c r="E32" s="141" t="s">
        <v>8</v>
      </c>
      <c r="F32" s="144">
        <f>D32*'Daftar HPP'!$L$152</f>
        <v>2144.1036802532649</v>
      </c>
      <c r="H32" s="141">
        <v>4</v>
      </c>
      <c r="I32" s="142" t="s">
        <v>26</v>
      </c>
      <c r="J32" s="141">
        <v>30</v>
      </c>
      <c r="K32" s="141" t="s">
        <v>8</v>
      </c>
      <c r="L32" s="144">
        <f>J32*'Daftar HPP'!$L$143</f>
        <v>1647.4064221926658</v>
      </c>
      <c r="T32" s="141">
        <v>4</v>
      </c>
      <c r="U32" s="142" t="s">
        <v>107</v>
      </c>
      <c r="V32" s="141">
        <v>30</v>
      </c>
      <c r="W32" s="141" t="s">
        <v>8</v>
      </c>
      <c r="X32" s="144">
        <f>V32*'Daftar HPP'!$L$152</f>
        <v>2144.1036802532649</v>
      </c>
      <c r="Z32" s="141">
        <v>4</v>
      </c>
      <c r="AA32" s="142" t="s">
        <v>26</v>
      </c>
      <c r="AB32" s="141">
        <v>30</v>
      </c>
      <c r="AC32" s="141" t="s">
        <v>8</v>
      </c>
      <c r="AD32" s="144">
        <f>AB32*'Daftar HPP'!$L$143</f>
        <v>1647.4064221926658</v>
      </c>
    </row>
    <row r="33" spans="2:36" x14ac:dyDescent="0.45">
      <c r="B33" s="141">
        <v>5</v>
      </c>
      <c r="C33" s="142" t="s">
        <v>275</v>
      </c>
      <c r="D33" s="141">
        <v>1</v>
      </c>
      <c r="E33" s="141" t="s">
        <v>8</v>
      </c>
      <c r="F33" s="144">
        <f>D33*'Daftar HPP'!$G$34</f>
        <v>500</v>
      </c>
      <c r="H33" s="141">
        <v>5</v>
      </c>
      <c r="I33" s="142" t="s">
        <v>275</v>
      </c>
      <c r="J33" s="141">
        <v>1</v>
      </c>
      <c r="K33" s="141" t="s">
        <v>8</v>
      </c>
      <c r="L33" s="144">
        <f>J33*'Daftar HPP'!$G$34</f>
        <v>500</v>
      </c>
      <c r="T33" s="141">
        <v>5</v>
      </c>
      <c r="U33" s="142" t="s">
        <v>275</v>
      </c>
      <c r="V33" s="141">
        <v>1</v>
      </c>
      <c r="W33" s="141" t="s">
        <v>8</v>
      </c>
      <c r="X33" s="144">
        <f>V33*'Daftar HPP'!$G$34</f>
        <v>500</v>
      </c>
      <c r="Z33" s="141">
        <v>5</v>
      </c>
      <c r="AA33" s="142" t="s">
        <v>275</v>
      </c>
      <c r="AB33" s="141">
        <v>1</v>
      </c>
      <c r="AC33" s="141" t="s">
        <v>8</v>
      </c>
      <c r="AD33" s="144">
        <f>AB33*'Daftar HPP'!$G$34</f>
        <v>500</v>
      </c>
    </row>
    <row r="34" spans="2:36" x14ac:dyDescent="0.45">
      <c r="B34" s="141">
        <v>6</v>
      </c>
      <c r="C34" s="142" t="s">
        <v>251</v>
      </c>
      <c r="D34" s="141">
        <v>1</v>
      </c>
      <c r="E34" s="141" t="s">
        <v>28</v>
      </c>
      <c r="F34" s="144">
        <f>D34*'Daftar HPP'!$G$39</f>
        <v>1100</v>
      </c>
      <c r="H34" s="141">
        <v>6</v>
      </c>
      <c r="I34" s="142" t="s">
        <v>251</v>
      </c>
      <c r="J34" s="141">
        <v>1</v>
      </c>
      <c r="K34" s="141" t="s">
        <v>28</v>
      </c>
      <c r="L34" s="144">
        <f>J34*'Daftar HPP'!$G$39</f>
        <v>1100</v>
      </c>
      <c r="T34" s="141">
        <v>6</v>
      </c>
      <c r="U34" s="142" t="s">
        <v>251</v>
      </c>
      <c r="V34" s="141">
        <v>1</v>
      </c>
      <c r="W34" s="141" t="s">
        <v>28</v>
      </c>
      <c r="X34" s="144">
        <f>V34*'Daftar HPP'!$G$39</f>
        <v>1100</v>
      </c>
      <c r="Z34" s="141">
        <v>6</v>
      </c>
      <c r="AA34" s="142" t="s">
        <v>251</v>
      </c>
      <c r="AB34" s="141">
        <v>1</v>
      </c>
      <c r="AC34" s="141" t="s">
        <v>28</v>
      </c>
      <c r="AD34" s="144">
        <f>AB34*'Daftar HPP'!$G$39</f>
        <v>1100</v>
      </c>
    </row>
    <row r="35" spans="2:36" x14ac:dyDescent="0.45">
      <c r="B35" s="153"/>
      <c r="C35" s="150"/>
      <c r="D35" s="261" t="s">
        <v>53</v>
      </c>
      <c r="E35" s="261"/>
      <c r="F35" s="190">
        <f>SUM(F29:F34)</f>
        <v>11913.794069269283</v>
      </c>
      <c r="H35" s="153"/>
      <c r="I35" s="150"/>
      <c r="J35" s="257" t="s">
        <v>53</v>
      </c>
      <c r="K35" s="258"/>
      <c r="L35" s="190">
        <f>SUM(L29:L34)</f>
        <v>11318.138001140034</v>
      </c>
      <c r="T35" s="153"/>
      <c r="U35" s="150"/>
      <c r="V35" s="261" t="s">
        <v>53</v>
      </c>
      <c r="W35" s="261"/>
      <c r="X35" s="190">
        <f>SUM(X29:X34)</f>
        <v>16789.525648216651</v>
      </c>
      <c r="Z35" s="153"/>
      <c r="AA35" s="150"/>
      <c r="AB35" s="257" t="s">
        <v>53</v>
      </c>
      <c r="AC35" s="258"/>
      <c r="AD35" s="190">
        <f>SUM(AD29:AD34)</f>
        <v>16193.869580087403</v>
      </c>
    </row>
    <row r="36" spans="2:36" x14ac:dyDescent="0.45">
      <c r="B36" s="153"/>
      <c r="C36" s="153"/>
      <c r="D36" s="256" t="s">
        <v>116</v>
      </c>
      <c r="E36" s="256"/>
      <c r="F36" s="147">
        <v>23000</v>
      </c>
      <c r="H36" s="153"/>
      <c r="I36" s="153"/>
      <c r="J36" s="251" t="s">
        <v>116</v>
      </c>
      <c r="K36" s="252"/>
      <c r="L36" s="147">
        <v>23000</v>
      </c>
      <c r="T36" s="153"/>
      <c r="U36" s="153"/>
      <c r="V36" s="256" t="s">
        <v>116</v>
      </c>
      <c r="W36" s="256"/>
      <c r="X36" s="147">
        <v>32000</v>
      </c>
      <c r="Z36" s="153"/>
      <c r="AA36" s="153"/>
      <c r="AB36" s="251" t="s">
        <v>116</v>
      </c>
      <c r="AC36" s="252"/>
      <c r="AD36" s="147">
        <v>32000</v>
      </c>
    </row>
    <row r="37" spans="2:36" x14ac:dyDescent="0.45">
      <c r="B37" s="153"/>
      <c r="C37" s="153"/>
      <c r="D37" s="256" t="s">
        <v>119</v>
      </c>
      <c r="E37" s="256"/>
      <c r="F37" s="148">
        <f>F36-F35</f>
        <v>11086.205930730717</v>
      </c>
      <c r="H37" s="153"/>
      <c r="I37" s="153"/>
      <c r="J37" s="256" t="s">
        <v>119</v>
      </c>
      <c r="K37" s="256"/>
      <c r="L37" s="148">
        <f>L36-L35</f>
        <v>11681.861998859966</v>
      </c>
      <c r="T37" s="153"/>
      <c r="U37" s="153"/>
      <c r="V37" s="256" t="s">
        <v>119</v>
      </c>
      <c r="W37" s="256"/>
      <c r="X37" s="148">
        <f>X36-X35</f>
        <v>15210.474351783349</v>
      </c>
      <c r="Z37" s="153"/>
      <c r="AA37" s="153"/>
      <c r="AB37" s="256" t="s">
        <v>119</v>
      </c>
      <c r="AC37" s="256"/>
      <c r="AD37" s="148">
        <f>AD36-AD35</f>
        <v>15806.130419912597</v>
      </c>
    </row>
    <row r="38" spans="2:36" x14ac:dyDescent="0.45">
      <c r="B38" s="153"/>
      <c r="C38" s="153"/>
      <c r="D38" s="206"/>
      <c r="E38" s="206"/>
      <c r="F38" s="157"/>
      <c r="N38" s="153"/>
      <c r="O38" s="153"/>
      <c r="P38" s="206"/>
      <c r="Q38" s="206"/>
      <c r="R38" s="157"/>
      <c r="T38" s="153"/>
      <c r="U38" s="153"/>
      <c r="V38" s="206"/>
      <c r="W38" s="206"/>
      <c r="X38" s="157"/>
      <c r="AF38" s="153"/>
      <c r="AG38" s="153"/>
      <c r="AH38" s="206"/>
      <c r="AI38" s="206"/>
      <c r="AJ38" s="157"/>
    </row>
    <row r="39" spans="2:36" ht="14.65" thickBot="1" x14ac:dyDescent="0.5">
      <c r="B39" s="2" t="s">
        <v>258</v>
      </c>
      <c r="H39" s="2" t="s">
        <v>262</v>
      </c>
      <c r="N39" s="153"/>
      <c r="O39" s="153"/>
      <c r="P39" s="206"/>
      <c r="Q39" s="206"/>
      <c r="R39" s="157"/>
      <c r="T39" s="2" t="s">
        <v>258</v>
      </c>
      <c r="Z39" s="2" t="s">
        <v>262</v>
      </c>
      <c r="AF39" s="153"/>
      <c r="AG39" s="153"/>
      <c r="AH39" s="206"/>
      <c r="AI39" s="206"/>
      <c r="AJ39" s="157"/>
    </row>
    <row r="40" spans="2:36" x14ac:dyDescent="0.45">
      <c r="B40" s="119" t="s">
        <v>0</v>
      </c>
      <c r="C40" s="119" t="s">
        <v>49</v>
      </c>
      <c r="D40" s="119" t="s">
        <v>34</v>
      </c>
      <c r="E40" s="119" t="s">
        <v>50</v>
      </c>
      <c r="F40" s="119" t="s">
        <v>36</v>
      </c>
      <c r="H40" s="119" t="s">
        <v>0</v>
      </c>
      <c r="I40" s="119" t="s">
        <v>49</v>
      </c>
      <c r="J40" s="119" t="s">
        <v>34</v>
      </c>
      <c r="K40" s="119" t="s">
        <v>50</v>
      </c>
      <c r="L40" s="119" t="s">
        <v>36</v>
      </c>
      <c r="N40" s="153"/>
      <c r="O40" s="153"/>
      <c r="P40" s="206"/>
      <c r="Q40" s="206"/>
      <c r="R40" s="157"/>
      <c r="T40" s="119" t="s">
        <v>0</v>
      </c>
      <c r="U40" s="119" t="s">
        <v>49</v>
      </c>
      <c r="V40" s="119" t="s">
        <v>34</v>
      </c>
      <c r="W40" s="119" t="s">
        <v>50</v>
      </c>
      <c r="X40" s="119" t="s">
        <v>36</v>
      </c>
      <c r="Z40" s="119" t="s">
        <v>0</v>
      </c>
      <c r="AA40" s="119" t="s">
        <v>49</v>
      </c>
      <c r="AB40" s="119" t="s">
        <v>34</v>
      </c>
      <c r="AC40" s="119" t="s">
        <v>50</v>
      </c>
      <c r="AD40" s="119" t="s">
        <v>36</v>
      </c>
      <c r="AF40" s="153"/>
      <c r="AG40" s="153"/>
      <c r="AH40" s="206"/>
      <c r="AI40" s="206"/>
      <c r="AJ40" s="157"/>
    </row>
    <row r="41" spans="2:36" x14ac:dyDescent="0.45">
      <c r="B41" s="141">
        <v>1</v>
      </c>
      <c r="C41" s="142" t="s">
        <v>112</v>
      </c>
      <c r="D41" s="141">
        <v>1</v>
      </c>
      <c r="E41" s="141" t="s">
        <v>6</v>
      </c>
      <c r="F41" s="143">
        <f>D41*'Daftar HPP'!$L$57</f>
        <v>4875.7315789473687</v>
      </c>
      <c r="H41" s="141">
        <v>1</v>
      </c>
      <c r="I41" s="142" t="s">
        <v>112</v>
      </c>
      <c r="J41" s="141">
        <v>1</v>
      </c>
      <c r="K41" s="141" t="s">
        <v>6</v>
      </c>
      <c r="L41" s="143">
        <f>J41*'Daftar HPP'!$L$57</f>
        <v>4875.7315789473687</v>
      </c>
      <c r="N41" s="153"/>
      <c r="O41" s="153"/>
      <c r="P41" s="206"/>
      <c r="Q41" s="206"/>
      <c r="R41" s="157"/>
      <c r="T41" s="141">
        <v>1</v>
      </c>
      <c r="U41" s="142" t="s">
        <v>112</v>
      </c>
      <c r="V41" s="141">
        <v>2</v>
      </c>
      <c r="W41" s="141" t="s">
        <v>6</v>
      </c>
      <c r="X41" s="143">
        <f>V41*'Daftar HPP'!$L$57</f>
        <v>9751.4631578947374</v>
      </c>
      <c r="Z41" s="141">
        <v>1</v>
      </c>
      <c r="AA41" s="142" t="s">
        <v>112</v>
      </c>
      <c r="AB41" s="141">
        <v>2</v>
      </c>
      <c r="AC41" s="141" t="s">
        <v>6</v>
      </c>
      <c r="AD41" s="143">
        <f>AB41*'Daftar HPP'!$L$57</f>
        <v>9751.4631578947374</v>
      </c>
      <c r="AF41" s="153"/>
      <c r="AG41" s="153"/>
      <c r="AH41" s="206"/>
      <c r="AI41" s="206"/>
      <c r="AJ41" s="157"/>
    </row>
    <row r="42" spans="2:36" x14ac:dyDescent="0.45">
      <c r="B42" s="141">
        <v>2</v>
      </c>
      <c r="C42" s="142" t="s">
        <v>271</v>
      </c>
      <c r="D42" s="141">
        <v>1</v>
      </c>
      <c r="E42" s="141" t="s">
        <v>118</v>
      </c>
      <c r="F42" s="143">
        <f>D42*'Daftar HPP'!$G$13</f>
        <v>1200</v>
      </c>
      <c r="H42" s="141">
        <v>2</v>
      </c>
      <c r="I42" s="142" t="s">
        <v>271</v>
      </c>
      <c r="J42" s="141">
        <v>1</v>
      </c>
      <c r="K42" s="141" t="s">
        <v>118</v>
      </c>
      <c r="L42" s="143">
        <f>J42*'Daftar HPP'!$G$13</f>
        <v>1200</v>
      </c>
      <c r="N42" s="153"/>
      <c r="O42" s="153"/>
      <c r="P42" s="206"/>
      <c r="Q42" s="206"/>
      <c r="R42" s="157"/>
      <c r="T42" s="141">
        <v>2</v>
      </c>
      <c r="U42" s="142" t="s">
        <v>271</v>
      </c>
      <c r="V42" s="141">
        <v>1</v>
      </c>
      <c r="W42" s="141" t="s">
        <v>118</v>
      </c>
      <c r="X42" s="143">
        <f>V42*'Daftar HPP'!$G$13</f>
        <v>1200</v>
      </c>
      <c r="Z42" s="141">
        <v>2</v>
      </c>
      <c r="AA42" s="142" t="s">
        <v>271</v>
      </c>
      <c r="AB42" s="141">
        <v>1</v>
      </c>
      <c r="AC42" s="141" t="s">
        <v>118</v>
      </c>
      <c r="AD42" s="143">
        <f>AB42*'Daftar HPP'!$G$13</f>
        <v>1200</v>
      </c>
      <c r="AF42" s="153"/>
      <c r="AG42" s="153"/>
      <c r="AH42" s="206"/>
      <c r="AI42" s="206"/>
      <c r="AJ42" s="157"/>
    </row>
    <row r="43" spans="2:36" x14ac:dyDescent="0.45">
      <c r="B43" s="141">
        <v>3</v>
      </c>
      <c r="C43" s="142" t="s">
        <v>17</v>
      </c>
      <c r="D43" s="141">
        <v>30</v>
      </c>
      <c r="E43" s="141" t="s">
        <v>8</v>
      </c>
      <c r="F43" s="144">
        <f>D43*'Daftar HPP'!$F$152</f>
        <v>2093.9588100686497</v>
      </c>
      <c r="H43" s="141">
        <v>3</v>
      </c>
      <c r="I43" s="142" t="s">
        <v>107</v>
      </c>
      <c r="J43" s="141">
        <v>30</v>
      </c>
      <c r="K43" s="141" t="s">
        <v>8</v>
      </c>
      <c r="L43" s="144">
        <f>J43*'Daftar HPP'!$L$152</f>
        <v>2144.1036802532649</v>
      </c>
      <c r="N43" s="153"/>
      <c r="O43" s="153"/>
      <c r="P43" s="206"/>
      <c r="Q43" s="206"/>
      <c r="R43" s="157"/>
      <c r="T43" s="141">
        <v>3</v>
      </c>
      <c r="U43" s="142" t="s">
        <v>17</v>
      </c>
      <c r="V43" s="141">
        <v>30</v>
      </c>
      <c r="W43" s="141" t="s">
        <v>8</v>
      </c>
      <c r="X43" s="144">
        <f>V43*'Daftar HPP'!$F$152</f>
        <v>2093.9588100686497</v>
      </c>
      <c r="Z43" s="141">
        <v>3</v>
      </c>
      <c r="AA43" s="142" t="s">
        <v>107</v>
      </c>
      <c r="AB43" s="141">
        <v>30</v>
      </c>
      <c r="AC43" s="141" t="s">
        <v>8</v>
      </c>
      <c r="AD43" s="144">
        <f>AB43*'Daftar HPP'!$L$152</f>
        <v>2144.1036802532649</v>
      </c>
      <c r="AF43" s="153"/>
      <c r="AG43" s="153"/>
      <c r="AH43" s="206"/>
      <c r="AI43" s="206"/>
      <c r="AJ43" s="157"/>
    </row>
    <row r="44" spans="2:36" x14ac:dyDescent="0.45">
      <c r="B44" s="141">
        <v>4</v>
      </c>
      <c r="C44" s="142" t="s">
        <v>26</v>
      </c>
      <c r="D44" s="141">
        <v>30</v>
      </c>
      <c r="E44" s="141" t="s">
        <v>8</v>
      </c>
      <c r="F44" s="144">
        <f>D44*'Daftar HPP'!$L$143</f>
        <v>1647.4064221926658</v>
      </c>
      <c r="H44" s="141">
        <v>4</v>
      </c>
      <c r="I44" s="142" t="s">
        <v>105</v>
      </c>
      <c r="J44" s="141">
        <v>30</v>
      </c>
      <c r="K44" s="141" t="s">
        <v>8</v>
      </c>
      <c r="L44" s="144">
        <f>J44*'Daftar HPP'!$F$143</f>
        <v>2146.3497453310692</v>
      </c>
      <c r="N44" s="153"/>
      <c r="O44" s="153"/>
      <c r="P44" s="206"/>
      <c r="Q44" s="206"/>
      <c r="R44" s="157"/>
      <c r="T44" s="141">
        <v>4</v>
      </c>
      <c r="U44" s="142" t="s">
        <v>26</v>
      </c>
      <c r="V44" s="141">
        <v>30</v>
      </c>
      <c r="W44" s="141" t="s">
        <v>8</v>
      </c>
      <c r="X44" s="144">
        <f>V44*'Daftar HPP'!$L$143</f>
        <v>1647.4064221926658</v>
      </c>
      <c r="Z44" s="141">
        <v>4</v>
      </c>
      <c r="AA44" s="142" t="s">
        <v>105</v>
      </c>
      <c r="AB44" s="141">
        <v>30</v>
      </c>
      <c r="AC44" s="141" t="s">
        <v>8</v>
      </c>
      <c r="AD44" s="144">
        <f>AB44*'Daftar HPP'!$F$143</f>
        <v>2146.3497453310692</v>
      </c>
      <c r="AF44" s="153"/>
      <c r="AG44" s="153"/>
      <c r="AH44" s="206"/>
      <c r="AI44" s="206"/>
      <c r="AJ44" s="157"/>
    </row>
    <row r="45" spans="2:36" x14ac:dyDescent="0.45">
      <c r="B45" s="141">
        <v>5</v>
      </c>
      <c r="C45" s="142" t="s">
        <v>275</v>
      </c>
      <c r="D45" s="141">
        <v>1</v>
      </c>
      <c r="E45" s="141" t="s">
        <v>8</v>
      </c>
      <c r="F45" s="144">
        <f>D45*'Daftar HPP'!$G$34</f>
        <v>500</v>
      </c>
      <c r="H45" s="141">
        <v>5</v>
      </c>
      <c r="I45" s="142" t="s">
        <v>275</v>
      </c>
      <c r="J45" s="141">
        <v>1</v>
      </c>
      <c r="K45" s="141" t="s">
        <v>8</v>
      </c>
      <c r="L45" s="144">
        <f>J45*'Daftar HPP'!$G$34</f>
        <v>500</v>
      </c>
      <c r="N45" s="153"/>
      <c r="O45" s="153"/>
      <c r="P45" s="206"/>
      <c r="Q45" s="206"/>
      <c r="R45" s="157"/>
      <c r="T45" s="141">
        <v>5</v>
      </c>
      <c r="U45" s="142" t="s">
        <v>275</v>
      </c>
      <c r="V45" s="141">
        <v>1</v>
      </c>
      <c r="W45" s="141" t="s">
        <v>8</v>
      </c>
      <c r="X45" s="144">
        <f>V45*'Daftar HPP'!$G$34</f>
        <v>500</v>
      </c>
      <c r="Z45" s="141">
        <v>5</v>
      </c>
      <c r="AA45" s="142" t="s">
        <v>275</v>
      </c>
      <c r="AB45" s="141">
        <v>1</v>
      </c>
      <c r="AC45" s="141" t="s">
        <v>8</v>
      </c>
      <c r="AD45" s="144">
        <f>AB45*'Daftar HPP'!$G$34</f>
        <v>500</v>
      </c>
      <c r="AF45" s="153"/>
      <c r="AG45" s="153"/>
      <c r="AH45" s="206"/>
      <c r="AI45" s="206"/>
      <c r="AJ45" s="157"/>
    </row>
    <row r="46" spans="2:36" x14ac:dyDescent="0.45">
      <c r="B46" s="141">
        <v>6</v>
      </c>
      <c r="C46" s="142" t="s">
        <v>251</v>
      </c>
      <c r="D46" s="141">
        <v>1</v>
      </c>
      <c r="E46" s="141" t="s">
        <v>28</v>
      </c>
      <c r="F46" s="144">
        <f>D46*'Daftar HPP'!$G$39</f>
        <v>1100</v>
      </c>
      <c r="H46" s="141">
        <v>6</v>
      </c>
      <c r="I46" s="142" t="s">
        <v>251</v>
      </c>
      <c r="J46" s="141">
        <v>1</v>
      </c>
      <c r="K46" s="141" t="s">
        <v>28</v>
      </c>
      <c r="L46" s="144">
        <f>J46*'Daftar HPP'!$G$39</f>
        <v>1100</v>
      </c>
      <c r="N46" s="153"/>
      <c r="O46" s="153"/>
      <c r="P46" s="206"/>
      <c r="Q46" s="206"/>
      <c r="R46" s="157"/>
      <c r="T46" s="141">
        <v>6</v>
      </c>
      <c r="U46" s="142" t="s">
        <v>251</v>
      </c>
      <c r="V46" s="141">
        <v>1</v>
      </c>
      <c r="W46" s="141" t="s">
        <v>28</v>
      </c>
      <c r="X46" s="144">
        <f>V46*'Daftar HPP'!$G$39</f>
        <v>1100</v>
      </c>
      <c r="Z46" s="141">
        <v>6</v>
      </c>
      <c r="AA46" s="142" t="s">
        <v>251</v>
      </c>
      <c r="AB46" s="141">
        <v>1</v>
      </c>
      <c r="AC46" s="141" t="s">
        <v>28</v>
      </c>
      <c r="AD46" s="144">
        <f>AB46*'Daftar HPP'!$G$39</f>
        <v>1100</v>
      </c>
      <c r="AF46" s="153"/>
      <c r="AG46" s="153"/>
      <c r="AH46" s="206"/>
      <c r="AI46" s="206"/>
      <c r="AJ46" s="157"/>
    </row>
    <row r="47" spans="2:36" x14ac:dyDescent="0.45">
      <c r="B47" s="153"/>
      <c r="C47" s="150"/>
      <c r="D47" s="261" t="s">
        <v>53</v>
      </c>
      <c r="E47" s="261"/>
      <c r="F47" s="190">
        <f>SUM(F41:F46)</f>
        <v>11417.096811208685</v>
      </c>
      <c r="H47" s="153"/>
      <c r="I47" s="150"/>
      <c r="J47" s="261" t="s">
        <v>53</v>
      </c>
      <c r="K47" s="261"/>
      <c r="L47" s="190">
        <f>SUM(L41:L46)</f>
        <v>11966.185004531704</v>
      </c>
      <c r="N47" s="153"/>
      <c r="O47" s="153"/>
      <c r="P47" s="206"/>
      <c r="Q47" s="206"/>
      <c r="R47" s="157"/>
      <c r="T47" s="153"/>
      <c r="U47" s="150"/>
      <c r="V47" s="261" t="s">
        <v>53</v>
      </c>
      <c r="W47" s="261"/>
      <c r="X47" s="190">
        <f>SUM(X41:X46)</f>
        <v>16292.828390156052</v>
      </c>
      <c r="Z47" s="153"/>
      <c r="AA47" s="150"/>
      <c r="AB47" s="261" t="s">
        <v>53</v>
      </c>
      <c r="AC47" s="261"/>
      <c r="AD47" s="190">
        <f>SUM(AD41:AD46)</f>
        <v>16841.916583479073</v>
      </c>
      <c r="AF47" s="153"/>
      <c r="AG47" s="153"/>
      <c r="AH47" s="206"/>
      <c r="AI47" s="206"/>
      <c r="AJ47" s="157"/>
    </row>
    <row r="48" spans="2:36" x14ac:dyDescent="0.45">
      <c r="B48" s="153"/>
      <c r="C48" s="153"/>
      <c r="D48" s="256" t="s">
        <v>116</v>
      </c>
      <c r="E48" s="256"/>
      <c r="F48" s="147">
        <v>23000</v>
      </c>
      <c r="H48" s="153"/>
      <c r="I48" s="153"/>
      <c r="J48" s="256" t="s">
        <v>116</v>
      </c>
      <c r="K48" s="256"/>
      <c r="L48" s="147">
        <v>23000</v>
      </c>
      <c r="N48" s="153"/>
      <c r="O48" s="153"/>
      <c r="P48" s="206"/>
      <c r="Q48" s="206"/>
      <c r="R48" s="157"/>
      <c r="T48" s="153"/>
      <c r="U48" s="153"/>
      <c r="V48" s="256" t="s">
        <v>116</v>
      </c>
      <c r="W48" s="256"/>
      <c r="X48" s="147">
        <v>32000</v>
      </c>
      <c r="Z48" s="153"/>
      <c r="AA48" s="153"/>
      <c r="AB48" s="256" t="s">
        <v>116</v>
      </c>
      <c r="AC48" s="256"/>
      <c r="AD48" s="147">
        <v>32000</v>
      </c>
      <c r="AF48" s="153"/>
      <c r="AG48" s="153"/>
      <c r="AH48" s="206"/>
      <c r="AI48" s="206"/>
      <c r="AJ48" s="157"/>
    </row>
    <row r="49" spans="2:36" x14ac:dyDescent="0.45">
      <c r="B49" s="153"/>
      <c r="C49" s="153"/>
      <c r="D49" s="256" t="s">
        <v>119</v>
      </c>
      <c r="E49" s="256"/>
      <c r="F49" s="148">
        <f>F48-F47</f>
        <v>11582.903188791315</v>
      </c>
      <c r="H49" s="153"/>
      <c r="I49" s="153"/>
      <c r="J49" s="256" t="s">
        <v>119</v>
      </c>
      <c r="K49" s="256"/>
      <c r="L49" s="148">
        <f>L48-L47</f>
        <v>11033.814995468296</v>
      </c>
      <c r="N49" s="153"/>
      <c r="O49" s="153"/>
      <c r="P49" s="206"/>
      <c r="Q49" s="206"/>
      <c r="R49" s="157"/>
      <c r="T49" s="153"/>
      <c r="U49" s="153"/>
      <c r="V49" s="256" t="s">
        <v>119</v>
      </c>
      <c r="W49" s="256"/>
      <c r="X49" s="148">
        <f>X48-X47</f>
        <v>15707.171609843948</v>
      </c>
      <c r="Z49" s="153"/>
      <c r="AA49" s="153"/>
      <c r="AB49" s="256" t="s">
        <v>119</v>
      </c>
      <c r="AC49" s="256"/>
      <c r="AD49" s="148">
        <f>AD48-AD47</f>
        <v>15158.083416520927</v>
      </c>
      <c r="AF49" s="153"/>
      <c r="AG49" s="153"/>
      <c r="AH49" s="206"/>
      <c r="AI49" s="206"/>
      <c r="AJ49" s="157"/>
    </row>
    <row r="50" spans="2:36" x14ac:dyDescent="0.45">
      <c r="B50" s="153"/>
      <c r="C50" s="153"/>
      <c r="D50" s="206"/>
      <c r="E50" s="206"/>
      <c r="F50" s="157"/>
      <c r="H50" s="153"/>
      <c r="I50" s="153"/>
      <c r="J50" s="206"/>
      <c r="K50" s="206"/>
      <c r="L50" s="157"/>
      <c r="N50" s="153"/>
      <c r="O50" s="153"/>
      <c r="P50" s="206"/>
      <c r="Q50" s="206"/>
      <c r="R50" s="157"/>
      <c r="T50" s="153"/>
      <c r="U50" s="153"/>
      <c r="V50" s="206"/>
      <c r="W50" s="206"/>
      <c r="X50" s="157"/>
      <c r="Z50" s="153"/>
      <c r="AA50" s="153"/>
      <c r="AB50" s="206"/>
      <c r="AC50" s="206"/>
      <c r="AD50" s="157"/>
      <c r="AF50" s="153"/>
      <c r="AG50" s="153"/>
      <c r="AH50" s="206"/>
      <c r="AI50" s="206"/>
      <c r="AJ50" s="157"/>
    </row>
    <row r="51" spans="2:36" ht="15.4" x14ac:dyDescent="0.45">
      <c r="B51" s="259" t="s">
        <v>333</v>
      </c>
      <c r="C51" s="259"/>
      <c r="D51" s="259"/>
      <c r="E51" s="259"/>
      <c r="F51" s="259"/>
      <c r="G51" s="259"/>
      <c r="H51" s="259"/>
      <c r="I51" s="259"/>
      <c r="J51" s="259"/>
      <c r="K51" s="259"/>
      <c r="L51" s="259"/>
      <c r="M51" s="259"/>
      <c r="N51" s="259"/>
      <c r="O51" s="259"/>
      <c r="P51" s="259"/>
      <c r="Q51" s="259"/>
      <c r="R51" s="259"/>
      <c r="T51" s="259" t="s">
        <v>336</v>
      </c>
      <c r="U51" s="259"/>
      <c r="V51" s="259"/>
      <c r="W51" s="259"/>
      <c r="X51" s="259"/>
      <c r="Y51" s="259"/>
      <c r="Z51" s="259"/>
      <c r="AA51" s="259"/>
      <c r="AB51" s="259"/>
      <c r="AC51" s="259"/>
      <c r="AD51" s="259"/>
      <c r="AE51" s="259"/>
      <c r="AF51" s="259"/>
      <c r="AG51" s="259"/>
      <c r="AH51" s="259"/>
      <c r="AI51" s="259"/>
      <c r="AJ51" s="259"/>
    </row>
    <row r="52" spans="2:36" ht="14.65" thickBot="1" x14ac:dyDescent="0.5">
      <c r="B52" s="2" t="s">
        <v>253</v>
      </c>
      <c r="H52" s="2" t="s">
        <v>259</v>
      </c>
      <c r="N52" s="2" t="s">
        <v>263</v>
      </c>
      <c r="T52" s="2" t="s">
        <v>253</v>
      </c>
      <c r="Z52" s="2" t="s">
        <v>259</v>
      </c>
      <c r="AF52" s="2" t="s">
        <v>263</v>
      </c>
    </row>
    <row r="53" spans="2:36" x14ac:dyDescent="0.45">
      <c r="B53" s="119" t="s">
        <v>0</v>
      </c>
      <c r="C53" s="119" t="s">
        <v>49</v>
      </c>
      <c r="D53" s="119" t="s">
        <v>34</v>
      </c>
      <c r="E53" s="119" t="s">
        <v>50</v>
      </c>
      <c r="F53" s="119" t="s">
        <v>36</v>
      </c>
      <c r="H53" s="119" t="s">
        <v>0</v>
      </c>
      <c r="I53" s="119" t="s">
        <v>49</v>
      </c>
      <c r="J53" s="119" t="s">
        <v>34</v>
      </c>
      <c r="K53" s="119" t="s">
        <v>50</v>
      </c>
      <c r="L53" s="119" t="s">
        <v>36</v>
      </c>
      <c r="N53" s="119" t="s">
        <v>0</v>
      </c>
      <c r="O53" s="119" t="s">
        <v>49</v>
      </c>
      <c r="P53" s="119" t="s">
        <v>34</v>
      </c>
      <c r="Q53" s="119" t="s">
        <v>50</v>
      </c>
      <c r="R53" s="119" t="s">
        <v>36</v>
      </c>
      <c r="T53" s="119" t="s">
        <v>0</v>
      </c>
      <c r="U53" s="119" t="s">
        <v>49</v>
      </c>
      <c r="V53" s="119" t="s">
        <v>34</v>
      </c>
      <c r="W53" s="119" t="s">
        <v>50</v>
      </c>
      <c r="X53" s="119" t="s">
        <v>36</v>
      </c>
      <c r="Z53" s="119" t="s">
        <v>0</v>
      </c>
      <c r="AA53" s="119" t="s">
        <v>49</v>
      </c>
      <c r="AB53" s="119" t="s">
        <v>34</v>
      </c>
      <c r="AC53" s="119" t="s">
        <v>50</v>
      </c>
      <c r="AD53" s="119" t="s">
        <v>36</v>
      </c>
      <c r="AF53" s="119" t="s">
        <v>0</v>
      </c>
      <c r="AG53" s="119" t="s">
        <v>49</v>
      </c>
      <c r="AH53" s="119" t="s">
        <v>34</v>
      </c>
      <c r="AI53" s="119" t="s">
        <v>50</v>
      </c>
      <c r="AJ53" s="119" t="s">
        <v>36</v>
      </c>
    </row>
    <row r="54" spans="2:36" x14ac:dyDescent="0.45">
      <c r="B54" s="141">
        <v>1</v>
      </c>
      <c r="C54" s="142" t="s">
        <v>112</v>
      </c>
      <c r="D54" s="141">
        <v>1</v>
      </c>
      <c r="E54" s="141" t="s">
        <v>6</v>
      </c>
      <c r="F54" s="143">
        <f>D54*'Daftar HPP'!$L$57</f>
        <v>4875.7315789473687</v>
      </c>
      <c r="H54" s="141">
        <v>1</v>
      </c>
      <c r="I54" s="142" t="s">
        <v>112</v>
      </c>
      <c r="J54" s="141">
        <v>1</v>
      </c>
      <c r="K54" s="141" t="s">
        <v>6</v>
      </c>
      <c r="L54" s="143">
        <f>J54*'Daftar HPP'!$L$57</f>
        <v>4875.7315789473687</v>
      </c>
      <c r="N54" s="141">
        <v>1</v>
      </c>
      <c r="O54" s="142" t="s">
        <v>112</v>
      </c>
      <c r="P54" s="141">
        <v>1</v>
      </c>
      <c r="Q54" s="141" t="s">
        <v>6</v>
      </c>
      <c r="R54" s="143">
        <f>P54*'Daftar HPP'!$L$57</f>
        <v>4875.7315789473687</v>
      </c>
      <c r="T54" s="141">
        <v>1</v>
      </c>
      <c r="U54" s="142" t="s">
        <v>112</v>
      </c>
      <c r="V54" s="141">
        <v>2</v>
      </c>
      <c r="W54" s="141" t="s">
        <v>6</v>
      </c>
      <c r="X54" s="143">
        <f>V54*'Daftar HPP'!$L$57</f>
        <v>9751.4631578947374</v>
      </c>
      <c r="Z54" s="141">
        <v>1</v>
      </c>
      <c r="AA54" s="142" t="s">
        <v>112</v>
      </c>
      <c r="AB54" s="141">
        <v>2</v>
      </c>
      <c r="AC54" s="141" t="s">
        <v>6</v>
      </c>
      <c r="AD54" s="143">
        <f>AB54*'Daftar HPP'!$L$57</f>
        <v>9751.4631578947374</v>
      </c>
      <c r="AF54" s="141">
        <v>1</v>
      </c>
      <c r="AG54" s="142" t="s">
        <v>112</v>
      </c>
      <c r="AH54" s="141">
        <v>2</v>
      </c>
      <c r="AI54" s="141" t="s">
        <v>6</v>
      </c>
      <c r="AJ54" s="143">
        <f>AH54*'Daftar HPP'!$L$57</f>
        <v>9751.4631578947374</v>
      </c>
    </row>
    <row r="55" spans="2:36" x14ac:dyDescent="0.45">
      <c r="B55" s="141">
        <v>2</v>
      </c>
      <c r="C55" s="142" t="s">
        <v>20</v>
      </c>
      <c r="D55" s="141">
        <v>40</v>
      </c>
      <c r="E55" s="141" t="s">
        <v>8</v>
      </c>
      <c r="F55" s="143">
        <f>D55*'Daftar HPP'!$F$114</f>
        <v>1874.0829346092503</v>
      </c>
      <c r="H55" s="141">
        <v>2</v>
      </c>
      <c r="I55" s="142" t="s">
        <v>20</v>
      </c>
      <c r="J55" s="141">
        <v>40</v>
      </c>
      <c r="K55" s="141" t="s">
        <v>8</v>
      </c>
      <c r="L55" s="143">
        <f>J55*'Daftar HPP'!$F$114</f>
        <v>1874.0829346092503</v>
      </c>
      <c r="N55" s="141">
        <v>2</v>
      </c>
      <c r="O55" s="142" t="s">
        <v>20</v>
      </c>
      <c r="P55" s="141">
        <v>40</v>
      </c>
      <c r="Q55" s="141" t="s">
        <v>8</v>
      </c>
      <c r="R55" s="143">
        <f>P55*'Daftar HPP'!$F$114</f>
        <v>1874.0829346092503</v>
      </c>
      <c r="T55" s="141">
        <v>2</v>
      </c>
      <c r="U55" s="142" t="s">
        <v>20</v>
      </c>
      <c r="V55" s="141">
        <v>80</v>
      </c>
      <c r="W55" s="141" t="s">
        <v>8</v>
      </c>
      <c r="X55" s="143">
        <f>V55*'Daftar HPP'!$F$114</f>
        <v>3748.1658692185006</v>
      </c>
      <c r="Z55" s="141">
        <v>2</v>
      </c>
      <c r="AA55" s="142" t="s">
        <v>20</v>
      </c>
      <c r="AB55" s="141">
        <v>80</v>
      </c>
      <c r="AC55" s="141" t="s">
        <v>8</v>
      </c>
      <c r="AD55" s="143">
        <f>AB55*'Daftar HPP'!$F$114</f>
        <v>3748.1658692185006</v>
      </c>
      <c r="AF55" s="141">
        <v>2</v>
      </c>
      <c r="AG55" s="142" t="s">
        <v>20</v>
      </c>
      <c r="AH55" s="141">
        <v>80</v>
      </c>
      <c r="AI55" s="141" t="s">
        <v>8</v>
      </c>
      <c r="AJ55" s="143">
        <f>AH55*'Daftar HPP'!$F$114</f>
        <v>3748.1658692185006</v>
      </c>
    </row>
    <row r="56" spans="2:36" x14ac:dyDescent="0.45">
      <c r="B56" s="141">
        <v>3</v>
      </c>
      <c r="C56" s="142" t="s">
        <v>271</v>
      </c>
      <c r="D56" s="141">
        <v>1</v>
      </c>
      <c r="E56" s="141" t="s">
        <v>118</v>
      </c>
      <c r="F56" s="143">
        <f>D56*'Daftar HPP'!$G$13</f>
        <v>1200</v>
      </c>
      <c r="H56" s="141">
        <v>3</v>
      </c>
      <c r="I56" s="142" t="s">
        <v>271</v>
      </c>
      <c r="J56" s="141">
        <v>1</v>
      </c>
      <c r="K56" s="141" t="s">
        <v>118</v>
      </c>
      <c r="L56" s="143">
        <f>J56*'Daftar HPP'!$G$13</f>
        <v>1200</v>
      </c>
      <c r="N56" s="141">
        <v>3</v>
      </c>
      <c r="O56" s="142" t="s">
        <v>271</v>
      </c>
      <c r="P56" s="141">
        <v>1</v>
      </c>
      <c r="Q56" s="141" t="s">
        <v>118</v>
      </c>
      <c r="R56" s="143">
        <f>P56*'Daftar HPP'!$G$13</f>
        <v>1200</v>
      </c>
      <c r="T56" s="141">
        <v>3</v>
      </c>
      <c r="U56" s="142" t="s">
        <v>271</v>
      </c>
      <c r="V56" s="141">
        <v>1</v>
      </c>
      <c r="W56" s="141" t="s">
        <v>118</v>
      </c>
      <c r="X56" s="143">
        <f>V56*'Daftar HPP'!$G$13</f>
        <v>1200</v>
      </c>
      <c r="Z56" s="141">
        <v>3</v>
      </c>
      <c r="AA56" s="142" t="s">
        <v>271</v>
      </c>
      <c r="AB56" s="141">
        <v>1</v>
      </c>
      <c r="AC56" s="141" t="s">
        <v>118</v>
      </c>
      <c r="AD56" s="143">
        <f>AB56*'Daftar HPP'!$G$13</f>
        <v>1200</v>
      </c>
      <c r="AF56" s="141">
        <v>3</v>
      </c>
      <c r="AG56" s="142" t="s">
        <v>271</v>
      </c>
      <c r="AH56" s="141">
        <v>1</v>
      </c>
      <c r="AI56" s="141" t="s">
        <v>118</v>
      </c>
      <c r="AJ56" s="143">
        <f>AH56*'Daftar HPP'!$G$13</f>
        <v>1200</v>
      </c>
    </row>
    <row r="57" spans="2:36" x14ac:dyDescent="0.45">
      <c r="B57" s="141">
        <v>4</v>
      </c>
      <c r="C57" s="142" t="s">
        <v>17</v>
      </c>
      <c r="D57" s="141">
        <v>30</v>
      </c>
      <c r="E57" s="141" t="s">
        <v>8</v>
      </c>
      <c r="F57" s="144">
        <f>D57*'Daftar HPP'!$F$152</f>
        <v>2093.9588100686497</v>
      </c>
      <c r="H57" s="141">
        <v>4</v>
      </c>
      <c r="I57" s="142" t="s">
        <v>25</v>
      </c>
      <c r="J57" s="141">
        <v>30</v>
      </c>
      <c r="K57" s="141" t="s">
        <v>8</v>
      </c>
      <c r="L57" s="144">
        <f>J57*'Daftar HPP'!$G$22</f>
        <v>1995</v>
      </c>
      <c r="N57" s="141">
        <v>4</v>
      </c>
      <c r="O57" s="142" t="s">
        <v>107</v>
      </c>
      <c r="P57" s="141">
        <v>30</v>
      </c>
      <c r="Q57" s="141" t="s">
        <v>8</v>
      </c>
      <c r="R57" s="144">
        <f>P57*'Daftar HPP'!$L$152</f>
        <v>2144.1036802532649</v>
      </c>
      <c r="T57" s="141">
        <v>4</v>
      </c>
      <c r="U57" s="142" t="s">
        <v>17</v>
      </c>
      <c r="V57" s="141">
        <v>30</v>
      </c>
      <c r="W57" s="141" t="s">
        <v>8</v>
      </c>
      <c r="X57" s="144">
        <f>V57*'Daftar HPP'!$F$152</f>
        <v>2093.9588100686497</v>
      </c>
      <c r="Z57" s="141">
        <v>4</v>
      </c>
      <c r="AA57" s="142" t="s">
        <v>25</v>
      </c>
      <c r="AB57" s="141">
        <v>30</v>
      </c>
      <c r="AC57" s="141" t="s">
        <v>8</v>
      </c>
      <c r="AD57" s="144">
        <f>AB57*'Daftar HPP'!$G$22</f>
        <v>1995</v>
      </c>
      <c r="AF57" s="141">
        <v>4</v>
      </c>
      <c r="AG57" s="142" t="s">
        <v>107</v>
      </c>
      <c r="AH57" s="141">
        <v>30</v>
      </c>
      <c r="AI57" s="141" t="s">
        <v>8</v>
      </c>
      <c r="AJ57" s="144">
        <f>AH57*'Daftar HPP'!$L$152</f>
        <v>2144.1036802532649</v>
      </c>
    </row>
    <row r="58" spans="2:36" x14ac:dyDescent="0.45">
      <c r="B58" s="141">
        <v>5</v>
      </c>
      <c r="C58" s="142" t="s">
        <v>25</v>
      </c>
      <c r="D58" s="141">
        <v>30</v>
      </c>
      <c r="E58" s="141" t="s">
        <v>8</v>
      </c>
      <c r="F58" s="144">
        <f>D58*'Daftar HPP'!$G$22</f>
        <v>1995</v>
      </c>
      <c r="G58" s="207"/>
      <c r="H58" s="141">
        <v>5</v>
      </c>
      <c r="I58" s="142" t="s">
        <v>105</v>
      </c>
      <c r="J58" s="141">
        <v>30</v>
      </c>
      <c r="K58" s="141" t="s">
        <v>8</v>
      </c>
      <c r="L58" s="144">
        <f>J58*'Daftar HPP'!$F$143</f>
        <v>2146.3497453310692</v>
      </c>
      <c r="N58" s="141">
        <v>5</v>
      </c>
      <c r="O58" s="142" t="s">
        <v>26</v>
      </c>
      <c r="P58" s="141">
        <v>30</v>
      </c>
      <c r="Q58" s="141" t="s">
        <v>8</v>
      </c>
      <c r="R58" s="144">
        <f>P58*'Daftar HPP'!$L$143</f>
        <v>1647.4064221926658</v>
      </c>
      <c r="T58" s="141">
        <v>5</v>
      </c>
      <c r="U58" s="142" t="s">
        <v>25</v>
      </c>
      <c r="V58" s="141">
        <v>30</v>
      </c>
      <c r="W58" s="141" t="s">
        <v>8</v>
      </c>
      <c r="X58" s="144">
        <f>V58*'Daftar HPP'!$G$22</f>
        <v>1995</v>
      </c>
      <c r="Z58" s="141">
        <v>5</v>
      </c>
      <c r="AA58" s="142" t="s">
        <v>105</v>
      </c>
      <c r="AB58" s="141">
        <v>30</v>
      </c>
      <c r="AC58" s="141" t="s">
        <v>8</v>
      </c>
      <c r="AD58" s="144">
        <f>AB58*'Daftar HPP'!$F$143</f>
        <v>2146.3497453310692</v>
      </c>
      <c r="AF58" s="141">
        <v>5</v>
      </c>
      <c r="AG58" s="142" t="s">
        <v>26</v>
      </c>
      <c r="AH58" s="141">
        <v>30</v>
      </c>
      <c r="AI58" s="141" t="s">
        <v>8</v>
      </c>
      <c r="AJ58" s="144">
        <f>AH58*'Daftar HPP'!$L$143</f>
        <v>1647.4064221926658</v>
      </c>
    </row>
    <row r="59" spans="2:36" x14ac:dyDescent="0.45">
      <c r="B59" s="141">
        <v>6</v>
      </c>
      <c r="C59" s="142" t="s">
        <v>275</v>
      </c>
      <c r="D59" s="141">
        <v>1</v>
      </c>
      <c r="E59" s="141" t="s">
        <v>8</v>
      </c>
      <c r="F59" s="144">
        <f>D59*'Daftar HPP'!$G$34</f>
        <v>500</v>
      </c>
      <c r="H59" s="141">
        <v>6</v>
      </c>
      <c r="I59" s="142" t="s">
        <v>275</v>
      </c>
      <c r="J59" s="141">
        <v>1</v>
      </c>
      <c r="K59" s="141" t="s">
        <v>8</v>
      </c>
      <c r="L59" s="144">
        <f>J59*'Daftar HPP'!$G$34</f>
        <v>500</v>
      </c>
      <c r="N59" s="141">
        <v>6</v>
      </c>
      <c r="O59" s="142" t="s">
        <v>275</v>
      </c>
      <c r="P59" s="141">
        <v>1</v>
      </c>
      <c r="Q59" s="141" t="s">
        <v>8</v>
      </c>
      <c r="R59" s="144">
        <f>P59*'Daftar HPP'!$G$34</f>
        <v>500</v>
      </c>
      <c r="T59" s="141">
        <v>6</v>
      </c>
      <c r="U59" s="142" t="s">
        <v>275</v>
      </c>
      <c r="V59" s="141">
        <v>1</v>
      </c>
      <c r="W59" s="141" t="s">
        <v>8</v>
      </c>
      <c r="X59" s="144">
        <f>V59*'Daftar HPP'!$G$34</f>
        <v>500</v>
      </c>
      <c r="Z59" s="141">
        <v>6</v>
      </c>
      <c r="AA59" s="142" t="s">
        <v>275</v>
      </c>
      <c r="AB59" s="141">
        <v>1</v>
      </c>
      <c r="AC59" s="141" t="s">
        <v>8</v>
      </c>
      <c r="AD59" s="144">
        <f>AB59*'Daftar HPP'!$G$34</f>
        <v>500</v>
      </c>
      <c r="AF59" s="141">
        <v>6</v>
      </c>
      <c r="AG59" s="142" t="s">
        <v>275</v>
      </c>
      <c r="AH59" s="141">
        <v>1</v>
      </c>
      <c r="AI59" s="141" t="s">
        <v>8</v>
      </c>
      <c r="AJ59" s="144">
        <f>AH59*'Daftar HPP'!$G$34</f>
        <v>500</v>
      </c>
    </row>
    <row r="60" spans="2:36" x14ac:dyDescent="0.45">
      <c r="B60" s="141">
        <v>7</v>
      </c>
      <c r="C60" s="142" t="s">
        <v>251</v>
      </c>
      <c r="D60" s="141">
        <v>1</v>
      </c>
      <c r="E60" s="141" t="s">
        <v>28</v>
      </c>
      <c r="F60" s="144">
        <f>D60*'Daftar HPP'!$G$39</f>
        <v>1100</v>
      </c>
      <c r="H60" s="141">
        <v>7</v>
      </c>
      <c r="I60" s="142" t="s">
        <v>251</v>
      </c>
      <c r="J60" s="141">
        <v>1</v>
      </c>
      <c r="K60" s="141" t="s">
        <v>28</v>
      </c>
      <c r="L60" s="144">
        <f>J60*'Daftar HPP'!$G$39</f>
        <v>1100</v>
      </c>
      <c r="N60" s="141">
        <v>7</v>
      </c>
      <c r="O60" s="142" t="s">
        <v>251</v>
      </c>
      <c r="P60" s="141">
        <v>1</v>
      </c>
      <c r="Q60" s="141" t="s">
        <v>28</v>
      </c>
      <c r="R60" s="144">
        <f>P60*'Daftar HPP'!$G$39</f>
        <v>1100</v>
      </c>
      <c r="T60" s="141">
        <v>7</v>
      </c>
      <c r="U60" s="142" t="s">
        <v>251</v>
      </c>
      <c r="V60" s="141">
        <v>1</v>
      </c>
      <c r="W60" s="141" t="s">
        <v>28</v>
      </c>
      <c r="X60" s="144">
        <f>V60*'Daftar HPP'!$G$39</f>
        <v>1100</v>
      </c>
      <c r="Z60" s="141">
        <v>7</v>
      </c>
      <c r="AA60" s="142" t="s">
        <v>251</v>
      </c>
      <c r="AB60" s="141">
        <v>1</v>
      </c>
      <c r="AC60" s="141" t="s">
        <v>28</v>
      </c>
      <c r="AD60" s="144">
        <f>AB60*'Daftar HPP'!$G$39</f>
        <v>1100</v>
      </c>
      <c r="AF60" s="141">
        <v>7</v>
      </c>
      <c r="AG60" s="142" t="s">
        <v>251</v>
      </c>
      <c r="AH60" s="141">
        <v>1</v>
      </c>
      <c r="AI60" s="141" t="s">
        <v>28</v>
      </c>
      <c r="AJ60" s="144">
        <f>AH60*'Daftar HPP'!$G$39</f>
        <v>1100</v>
      </c>
    </row>
    <row r="61" spans="2:36" x14ac:dyDescent="0.45">
      <c r="B61" s="153"/>
      <c r="C61" s="150"/>
      <c r="D61" s="261" t="s">
        <v>53</v>
      </c>
      <c r="E61" s="261"/>
      <c r="F61" s="190">
        <f>SUM(F54:F60)</f>
        <v>13638.773323625268</v>
      </c>
      <c r="H61" s="153"/>
      <c r="I61" s="150"/>
      <c r="J61" s="261" t="s">
        <v>53</v>
      </c>
      <c r="K61" s="261"/>
      <c r="L61" s="190">
        <f>SUM(L54:L60)</f>
        <v>13691.164258887689</v>
      </c>
      <c r="N61" s="153"/>
      <c r="O61" s="150"/>
      <c r="P61" s="261" t="s">
        <v>53</v>
      </c>
      <c r="Q61" s="261"/>
      <c r="R61" s="190">
        <f>SUM(R54:R60)</f>
        <v>13341.32461600255</v>
      </c>
      <c r="T61" s="153"/>
      <c r="U61" s="150"/>
      <c r="V61" s="261" t="s">
        <v>53</v>
      </c>
      <c r="W61" s="261"/>
      <c r="X61" s="190">
        <f>SUM(X54:X60)</f>
        <v>20388.587837181887</v>
      </c>
      <c r="Z61" s="153"/>
      <c r="AA61" s="150"/>
      <c r="AB61" s="261" t="s">
        <v>53</v>
      </c>
      <c r="AC61" s="261"/>
      <c r="AD61" s="190">
        <f>SUM(AD54:AD60)</f>
        <v>20440.978772444309</v>
      </c>
      <c r="AF61" s="153"/>
      <c r="AG61" s="150"/>
      <c r="AH61" s="261" t="s">
        <v>53</v>
      </c>
      <c r="AI61" s="261"/>
      <c r="AJ61" s="190">
        <f>SUM(AJ54:AJ60)</f>
        <v>20091.139129559171</v>
      </c>
    </row>
    <row r="62" spans="2:36" x14ac:dyDescent="0.45">
      <c r="B62" s="153"/>
      <c r="C62" s="153"/>
      <c r="D62" s="256" t="s">
        <v>116</v>
      </c>
      <c r="E62" s="256"/>
      <c r="F62" s="147">
        <v>26000</v>
      </c>
      <c r="H62" s="153"/>
      <c r="I62" s="153"/>
      <c r="J62" s="256" t="s">
        <v>116</v>
      </c>
      <c r="K62" s="256"/>
      <c r="L62" s="147">
        <v>26000</v>
      </c>
      <c r="N62" s="153"/>
      <c r="O62" s="153"/>
      <c r="P62" s="256" t="s">
        <v>116</v>
      </c>
      <c r="Q62" s="256"/>
      <c r="R62" s="147">
        <v>26000</v>
      </c>
      <c r="T62" s="153"/>
      <c r="U62" s="153"/>
      <c r="V62" s="256" t="s">
        <v>116</v>
      </c>
      <c r="W62" s="256"/>
      <c r="X62" s="147">
        <v>38000</v>
      </c>
      <c r="Z62" s="153"/>
      <c r="AA62" s="153"/>
      <c r="AB62" s="256" t="s">
        <v>116</v>
      </c>
      <c r="AC62" s="256"/>
      <c r="AD62" s="147">
        <v>38000</v>
      </c>
      <c r="AF62" s="153"/>
      <c r="AG62" s="153"/>
      <c r="AH62" s="256" t="s">
        <v>116</v>
      </c>
      <c r="AI62" s="256"/>
      <c r="AJ62" s="147">
        <v>38000</v>
      </c>
    </row>
    <row r="63" spans="2:36" x14ac:dyDescent="0.45">
      <c r="B63" s="153"/>
      <c r="C63" s="153"/>
      <c r="D63" s="256" t="s">
        <v>119</v>
      </c>
      <c r="E63" s="256"/>
      <c r="F63" s="148">
        <f>F62-F61</f>
        <v>12361.226676374732</v>
      </c>
      <c r="H63" s="153"/>
      <c r="I63" s="153"/>
      <c r="J63" s="256" t="s">
        <v>119</v>
      </c>
      <c r="K63" s="256"/>
      <c r="L63" s="148">
        <f>L62-L61</f>
        <v>12308.835741112311</v>
      </c>
      <c r="N63" s="153"/>
      <c r="O63" s="153"/>
      <c r="P63" s="256" t="s">
        <v>119</v>
      </c>
      <c r="Q63" s="256"/>
      <c r="R63" s="148">
        <f>R62-R61</f>
        <v>12658.67538399745</v>
      </c>
      <c r="T63" s="153"/>
      <c r="U63" s="153"/>
      <c r="V63" s="256" t="s">
        <v>119</v>
      </c>
      <c r="W63" s="256"/>
      <c r="X63" s="148">
        <f>X62-X61</f>
        <v>17611.412162818113</v>
      </c>
      <c r="Z63" s="153"/>
      <c r="AA63" s="153"/>
      <c r="AB63" s="256" t="s">
        <v>119</v>
      </c>
      <c r="AC63" s="256"/>
      <c r="AD63" s="148">
        <f>AD62-AD61</f>
        <v>17559.021227555691</v>
      </c>
      <c r="AF63" s="153"/>
      <c r="AG63" s="153"/>
      <c r="AH63" s="256" t="s">
        <v>119</v>
      </c>
      <c r="AI63" s="256"/>
      <c r="AJ63" s="148">
        <f>AJ62-AJ61</f>
        <v>17908.860870440829</v>
      </c>
    </row>
    <row r="65" spans="2:36" ht="14.65" thickBot="1" x14ac:dyDescent="0.5">
      <c r="B65" s="2" t="s">
        <v>256</v>
      </c>
      <c r="H65" s="2" t="s">
        <v>260</v>
      </c>
      <c r="N65" s="2" t="s">
        <v>307</v>
      </c>
      <c r="T65" s="2" t="s">
        <v>256</v>
      </c>
      <c r="Z65" s="2" t="s">
        <v>260</v>
      </c>
      <c r="AF65" s="2" t="s">
        <v>307</v>
      </c>
    </row>
    <row r="66" spans="2:36" x14ac:dyDescent="0.45">
      <c r="B66" s="119" t="s">
        <v>0</v>
      </c>
      <c r="C66" s="119" t="s">
        <v>49</v>
      </c>
      <c r="D66" s="119" t="s">
        <v>34</v>
      </c>
      <c r="E66" s="119" t="s">
        <v>50</v>
      </c>
      <c r="F66" s="119" t="s">
        <v>36</v>
      </c>
      <c r="H66" s="119" t="s">
        <v>0</v>
      </c>
      <c r="I66" s="119" t="s">
        <v>49</v>
      </c>
      <c r="J66" s="119" t="s">
        <v>34</v>
      </c>
      <c r="K66" s="119" t="s">
        <v>50</v>
      </c>
      <c r="L66" s="119" t="s">
        <v>36</v>
      </c>
      <c r="N66" s="119" t="s">
        <v>0</v>
      </c>
      <c r="O66" s="119" t="s">
        <v>49</v>
      </c>
      <c r="P66" s="119" t="s">
        <v>34</v>
      </c>
      <c r="Q66" s="119" t="s">
        <v>50</v>
      </c>
      <c r="R66" s="119" t="s">
        <v>36</v>
      </c>
      <c r="T66" s="119" t="s">
        <v>0</v>
      </c>
      <c r="U66" s="119" t="s">
        <v>49</v>
      </c>
      <c r="V66" s="119" t="s">
        <v>34</v>
      </c>
      <c r="W66" s="119" t="s">
        <v>50</v>
      </c>
      <c r="X66" s="119" t="s">
        <v>36</v>
      </c>
      <c r="Z66" s="119" t="s">
        <v>0</v>
      </c>
      <c r="AA66" s="119" t="s">
        <v>49</v>
      </c>
      <c r="AB66" s="119" t="s">
        <v>34</v>
      </c>
      <c r="AC66" s="119" t="s">
        <v>50</v>
      </c>
      <c r="AD66" s="119" t="s">
        <v>36</v>
      </c>
      <c r="AF66" s="119" t="s">
        <v>0</v>
      </c>
      <c r="AG66" s="119" t="s">
        <v>49</v>
      </c>
      <c r="AH66" s="119" t="s">
        <v>34</v>
      </c>
      <c r="AI66" s="119" t="s">
        <v>50</v>
      </c>
      <c r="AJ66" s="119" t="s">
        <v>36</v>
      </c>
    </row>
    <row r="67" spans="2:36" x14ac:dyDescent="0.45">
      <c r="B67" s="141">
        <v>1</v>
      </c>
      <c r="C67" s="142" t="s">
        <v>112</v>
      </c>
      <c r="D67" s="141">
        <v>1</v>
      </c>
      <c r="E67" s="141" t="s">
        <v>6</v>
      </c>
      <c r="F67" s="143">
        <f>D67*'Daftar HPP'!$L$57</f>
        <v>4875.7315789473687</v>
      </c>
      <c r="H67" s="141">
        <v>1</v>
      </c>
      <c r="I67" s="142" t="s">
        <v>112</v>
      </c>
      <c r="J67" s="141">
        <v>1</v>
      </c>
      <c r="K67" s="141" t="s">
        <v>6</v>
      </c>
      <c r="L67" s="143">
        <f>J67*'Daftar HPP'!$L$57</f>
        <v>4875.7315789473687</v>
      </c>
      <c r="N67" s="141">
        <v>1</v>
      </c>
      <c r="O67" s="142" t="s">
        <v>112</v>
      </c>
      <c r="P67" s="141">
        <v>1</v>
      </c>
      <c r="Q67" s="141" t="s">
        <v>6</v>
      </c>
      <c r="R67" s="143">
        <f>P67*'Daftar HPP'!$L$57</f>
        <v>4875.7315789473687</v>
      </c>
      <c r="T67" s="141">
        <v>1</v>
      </c>
      <c r="U67" s="142" t="s">
        <v>112</v>
      </c>
      <c r="V67" s="141">
        <v>2</v>
      </c>
      <c r="W67" s="141" t="s">
        <v>6</v>
      </c>
      <c r="X67" s="143">
        <f>V67*'Daftar HPP'!$L$57</f>
        <v>9751.4631578947374</v>
      </c>
      <c r="Z67" s="141">
        <v>1</v>
      </c>
      <c r="AA67" s="142" t="s">
        <v>112</v>
      </c>
      <c r="AB67" s="141">
        <v>2</v>
      </c>
      <c r="AC67" s="141" t="s">
        <v>6</v>
      </c>
      <c r="AD67" s="143">
        <f>AB67*'Daftar HPP'!$L$57</f>
        <v>9751.4631578947374</v>
      </c>
      <c r="AF67" s="141">
        <v>1</v>
      </c>
      <c r="AG67" s="142" t="s">
        <v>112</v>
      </c>
      <c r="AH67" s="141">
        <v>2</v>
      </c>
      <c r="AI67" s="141" t="s">
        <v>6</v>
      </c>
      <c r="AJ67" s="143">
        <f>AH67*'Daftar HPP'!$L$57</f>
        <v>9751.4631578947374</v>
      </c>
    </row>
    <row r="68" spans="2:36" x14ac:dyDescent="0.45">
      <c r="B68" s="141">
        <v>2</v>
      </c>
      <c r="C68" s="142" t="s">
        <v>20</v>
      </c>
      <c r="D68" s="141">
        <v>40</v>
      </c>
      <c r="E68" s="141" t="s">
        <v>8</v>
      </c>
      <c r="F68" s="143">
        <f>D68*'Daftar HPP'!$F$114</f>
        <v>1874.0829346092503</v>
      </c>
      <c r="H68" s="141">
        <v>2</v>
      </c>
      <c r="I68" s="142" t="s">
        <v>20</v>
      </c>
      <c r="J68" s="141">
        <v>40</v>
      </c>
      <c r="K68" s="141" t="s">
        <v>8</v>
      </c>
      <c r="L68" s="143">
        <f>J68*'Daftar HPP'!$F$114</f>
        <v>1874.0829346092503</v>
      </c>
      <c r="N68" s="141">
        <v>2</v>
      </c>
      <c r="O68" s="142" t="s">
        <v>20</v>
      </c>
      <c r="P68" s="141">
        <v>40</v>
      </c>
      <c r="Q68" s="141" t="s">
        <v>8</v>
      </c>
      <c r="R68" s="143">
        <f>P68*'Daftar HPP'!$F$114</f>
        <v>1874.0829346092503</v>
      </c>
      <c r="T68" s="141">
        <v>2</v>
      </c>
      <c r="U68" s="142" t="s">
        <v>20</v>
      </c>
      <c r="V68" s="141">
        <v>80</v>
      </c>
      <c r="W68" s="141" t="s">
        <v>8</v>
      </c>
      <c r="X68" s="143">
        <f>V68*'Daftar HPP'!$F$114</f>
        <v>3748.1658692185006</v>
      </c>
      <c r="Z68" s="141">
        <v>2</v>
      </c>
      <c r="AA68" s="142" t="s">
        <v>20</v>
      </c>
      <c r="AB68" s="141">
        <v>80</v>
      </c>
      <c r="AC68" s="141" t="s">
        <v>8</v>
      </c>
      <c r="AD68" s="143">
        <f>AB68*'Daftar HPP'!$F$114</f>
        <v>3748.1658692185006</v>
      </c>
      <c r="AF68" s="141">
        <v>2</v>
      </c>
      <c r="AG68" s="142" t="s">
        <v>20</v>
      </c>
      <c r="AH68" s="141">
        <v>80</v>
      </c>
      <c r="AI68" s="141" t="s">
        <v>8</v>
      </c>
      <c r="AJ68" s="143">
        <f>AH68*'Daftar HPP'!$F$114</f>
        <v>3748.1658692185006</v>
      </c>
    </row>
    <row r="69" spans="2:36" x14ac:dyDescent="0.45">
      <c r="B69" s="141">
        <v>3</v>
      </c>
      <c r="C69" s="142" t="s">
        <v>271</v>
      </c>
      <c r="D69" s="141">
        <v>1</v>
      </c>
      <c r="E69" s="141" t="s">
        <v>118</v>
      </c>
      <c r="F69" s="143">
        <f>D69*'Daftar HPP'!$G$13</f>
        <v>1200</v>
      </c>
      <c r="H69" s="141">
        <v>3</v>
      </c>
      <c r="I69" s="142" t="s">
        <v>271</v>
      </c>
      <c r="J69" s="141">
        <v>1</v>
      </c>
      <c r="K69" s="141" t="s">
        <v>118</v>
      </c>
      <c r="L69" s="143">
        <f>J69*'Daftar HPP'!$G$13</f>
        <v>1200</v>
      </c>
      <c r="N69" s="141">
        <v>3</v>
      </c>
      <c r="O69" s="142" t="s">
        <v>271</v>
      </c>
      <c r="P69" s="141">
        <v>1</v>
      </c>
      <c r="Q69" s="141" t="s">
        <v>118</v>
      </c>
      <c r="R69" s="143">
        <f>P69*'Daftar HPP'!$G$13</f>
        <v>1200</v>
      </c>
      <c r="T69" s="141">
        <v>3</v>
      </c>
      <c r="U69" s="142" t="s">
        <v>271</v>
      </c>
      <c r="V69" s="141">
        <v>1</v>
      </c>
      <c r="W69" s="141" t="s">
        <v>118</v>
      </c>
      <c r="X69" s="143">
        <f>V69*'Daftar HPP'!$G$13</f>
        <v>1200</v>
      </c>
      <c r="Z69" s="141">
        <v>3</v>
      </c>
      <c r="AA69" s="142" t="s">
        <v>271</v>
      </c>
      <c r="AB69" s="141">
        <v>1</v>
      </c>
      <c r="AC69" s="141" t="s">
        <v>118</v>
      </c>
      <c r="AD69" s="143">
        <f>AB69*'Daftar HPP'!$G$13</f>
        <v>1200</v>
      </c>
      <c r="AF69" s="141">
        <v>3</v>
      </c>
      <c r="AG69" s="142" t="s">
        <v>271</v>
      </c>
      <c r="AH69" s="141">
        <v>1</v>
      </c>
      <c r="AI69" s="141" t="s">
        <v>118</v>
      </c>
      <c r="AJ69" s="143">
        <f>AH69*'Daftar HPP'!$G$13</f>
        <v>1200</v>
      </c>
    </row>
    <row r="70" spans="2:36" x14ac:dyDescent="0.45">
      <c r="B70" s="141">
        <v>4</v>
      </c>
      <c r="C70" s="142" t="s">
        <v>17</v>
      </c>
      <c r="D70" s="141">
        <v>30</v>
      </c>
      <c r="E70" s="141" t="s">
        <v>8</v>
      </c>
      <c r="F70" s="144">
        <f>D70*'Daftar HPP'!$F$152</f>
        <v>2093.9588100686497</v>
      </c>
      <c r="H70" s="141">
        <v>4</v>
      </c>
      <c r="I70" s="142" t="s">
        <v>25</v>
      </c>
      <c r="J70" s="141">
        <v>30</v>
      </c>
      <c r="K70" s="141" t="s">
        <v>8</v>
      </c>
      <c r="L70" s="144">
        <f>J70*'Daftar HPP'!$G$22</f>
        <v>1995</v>
      </c>
      <c r="N70" s="141">
        <v>4</v>
      </c>
      <c r="O70" s="142" t="s">
        <v>105</v>
      </c>
      <c r="P70" s="141">
        <v>30</v>
      </c>
      <c r="Q70" s="141" t="s">
        <v>8</v>
      </c>
      <c r="R70" s="144">
        <f>P70*'Daftar HPP'!$F$143</f>
        <v>2146.3497453310692</v>
      </c>
      <c r="T70" s="141">
        <v>4</v>
      </c>
      <c r="U70" s="142" t="s">
        <v>17</v>
      </c>
      <c r="V70" s="141">
        <v>30</v>
      </c>
      <c r="W70" s="141" t="s">
        <v>8</v>
      </c>
      <c r="X70" s="144">
        <f>V70*'Daftar HPP'!$F$152</f>
        <v>2093.9588100686497</v>
      </c>
      <c r="Z70" s="141">
        <v>4</v>
      </c>
      <c r="AA70" s="142" t="s">
        <v>25</v>
      </c>
      <c r="AB70" s="141">
        <v>30</v>
      </c>
      <c r="AC70" s="141" t="s">
        <v>8</v>
      </c>
      <c r="AD70" s="144">
        <f>AB70*'Daftar HPP'!$G$22</f>
        <v>1995</v>
      </c>
      <c r="AF70" s="141">
        <v>4</v>
      </c>
      <c r="AG70" s="142" t="s">
        <v>105</v>
      </c>
      <c r="AH70" s="141">
        <v>30</v>
      </c>
      <c r="AI70" s="141" t="s">
        <v>8</v>
      </c>
      <c r="AJ70" s="144">
        <f>AH70*'Daftar HPP'!$F$143</f>
        <v>2146.3497453310692</v>
      </c>
    </row>
    <row r="71" spans="2:36" x14ac:dyDescent="0.45">
      <c r="B71" s="141">
        <v>5</v>
      </c>
      <c r="C71" s="142" t="s">
        <v>105</v>
      </c>
      <c r="D71" s="141">
        <v>30</v>
      </c>
      <c r="E71" s="141" t="s">
        <v>8</v>
      </c>
      <c r="F71" s="144">
        <f>D71*'Daftar HPP'!$F$143</f>
        <v>2146.3497453310692</v>
      </c>
      <c r="H71" s="141">
        <v>5</v>
      </c>
      <c r="I71" s="142" t="s">
        <v>107</v>
      </c>
      <c r="J71" s="141">
        <v>30</v>
      </c>
      <c r="K71" s="141" t="s">
        <v>8</v>
      </c>
      <c r="L71" s="144">
        <f>J71*'Daftar HPP'!$L$152</f>
        <v>2144.1036802532649</v>
      </c>
      <c r="N71" s="141">
        <v>5</v>
      </c>
      <c r="O71" s="142" t="s">
        <v>26</v>
      </c>
      <c r="P71" s="141">
        <v>30</v>
      </c>
      <c r="Q71" s="141" t="s">
        <v>8</v>
      </c>
      <c r="R71" s="144">
        <f>P71*'Daftar HPP'!$L$143</f>
        <v>1647.4064221926658</v>
      </c>
      <c r="T71" s="141">
        <v>5</v>
      </c>
      <c r="U71" s="142" t="s">
        <v>105</v>
      </c>
      <c r="V71" s="141">
        <v>30</v>
      </c>
      <c r="W71" s="141" t="s">
        <v>8</v>
      </c>
      <c r="X71" s="144">
        <f>V71*'Daftar HPP'!$F$143</f>
        <v>2146.3497453310692</v>
      </c>
      <c r="Z71" s="141">
        <v>5</v>
      </c>
      <c r="AA71" s="142" t="s">
        <v>107</v>
      </c>
      <c r="AB71" s="141">
        <v>30</v>
      </c>
      <c r="AC71" s="141" t="s">
        <v>8</v>
      </c>
      <c r="AD71" s="144">
        <f>AB71*'Daftar HPP'!$L$152</f>
        <v>2144.1036802532649</v>
      </c>
      <c r="AF71" s="141">
        <v>5</v>
      </c>
      <c r="AG71" s="142" t="s">
        <v>26</v>
      </c>
      <c r="AH71" s="141">
        <v>30</v>
      </c>
      <c r="AI71" s="141" t="s">
        <v>8</v>
      </c>
      <c r="AJ71" s="144">
        <f>AH71*'Daftar HPP'!$L$143</f>
        <v>1647.4064221926658</v>
      </c>
    </row>
    <row r="72" spans="2:36" x14ac:dyDescent="0.45">
      <c r="B72" s="141">
        <v>6</v>
      </c>
      <c r="C72" s="142" t="s">
        <v>275</v>
      </c>
      <c r="D72" s="141">
        <v>1</v>
      </c>
      <c r="E72" s="141" t="s">
        <v>8</v>
      </c>
      <c r="F72" s="144">
        <f>D72*'Daftar HPP'!$G$34</f>
        <v>500</v>
      </c>
      <c r="H72" s="141">
        <v>6</v>
      </c>
      <c r="I72" s="142" t="s">
        <v>275</v>
      </c>
      <c r="J72" s="141">
        <v>1</v>
      </c>
      <c r="K72" s="141" t="s">
        <v>8</v>
      </c>
      <c r="L72" s="144">
        <f>J72*'Daftar HPP'!$G$34</f>
        <v>500</v>
      </c>
      <c r="N72" s="141">
        <v>6</v>
      </c>
      <c r="O72" s="142" t="s">
        <v>275</v>
      </c>
      <c r="P72" s="141">
        <v>1</v>
      </c>
      <c r="Q72" s="141" t="s">
        <v>8</v>
      </c>
      <c r="R72" s="144">
        <f>P72*'Daftar HPP'!$G$34</f>
        <v>500</v>
      </c>
      <c r="T72" s="141">
        <v>6</v>
      </c>
      <c r="U72" s="142" t="s">
        <v>275</v>
      </c>
      <c r="V72" s="141">
        <v>1</v>
      </c>
      <c r="W72" s="141" t="s">
        <v>8</v>
      </c>
      <c r="X72" s="144">
        <f>V72*'Daftar HPP'!$G$34</f>
        <v>500</v>
      </c>
      <c r="Z72" s="141">
        <v>6</v>
      </c>
      <c r="AA72" s="142" t="s">
        <v>275</v>
      </c>
      <c r="AB72" s="141">
        <v>1</v>
      </c>
      <c r="AC72" s="141" t="s">
        <v>8</v>
      </c>
      <c r="AD72" s="144">
        <f>AB72*'Daftar HPP'!$G$34</f>
        <v>500</v>
      </c>
      <c r="AF72" s="141">
        <v>6</v>
      </c>
      <c r="AG72" s="142" t="s">
        <v>275</v>
      </c>
      <c r="AH72" s="141">
        <v>1</v>
      </c>
      <c r="AI72" s="141" t="s">
        <v>8</v>
      </c>
      <c r="AJ72" s="144">
        <f>AH72*'Daftar HPP'!$G$34</f>
        <v>500</v>
      </c>
    </row>
    <row r="73" spans="2:36" x14ac:dyDescent="0.45">
      <c r="B73" s="141">
        <v>7</v>
      </c>
      <c r="C73" s="142" t="s">
        <v>251</v>
      </c>
      <c r="D73" s="141">
        <v>1</v>
      </c>
      <c r="E73" s="141" t="s">
        <v>28</v>
      </c>
      <c r="F73" s="144">
        <f>D73*'Daftar HPP'!$G$39</f>
        <v>1100</v>
      </c>
      <c r="H73" s="141">
        <v>7</v>
      </c>
      <c r="I73" s="142" t="s">
        <v>251</v>
      </c>
      <c r="J73" s="141">
        <v>1</v>
      </c>
      <c r="K73" s="141" t="s">
        <v>28</v>
      </c>
      <c r="L73" s="144">
        <f>J73*'Daftar HPP'!$G$39</f>
        <v>1100</v>
      </c>
      <c r="N73" s="141">
        <v>7</v>
      </c>
      <c r="O73" s="142" t="s">
        <v>251</v>
      </c>
      <c r="P73" s="141">
        <v>1</v>
      </c>
      <c r="Q73" s="141" t="s">
        <v>28</v>
      </c>
      <c r="R73" s="144">
        <f>P73*'Daftar HPP'!$G$39</f>
        <v>1100</v>
      </c>
      <c r="T73" s="141">
        <v>7</v>
      </c>
      <c r="U73" s="142" t="s">
        <v>251</v>
      </c>
      <c r="V73" s="141">
        <v>1</v>
      </c>
      <c r="W73" s="141" t="s">
        <v>28</v>
      </c>
      <c r="X73" s="144">
        <f>V73*'Daftar HPP'!$G$39</f>
        <v>1100</v>
      </c>
      <c r="Z73" s="141">
        <v>7</v>
      </c>
      <c r="AA73" s="142" t="s">
        <v>251</v>
      </c>
      <c r="AB73" s="141">
        <v>1</v>
      </c>
      <c r="AC73" s="141" t="s">
        <v>28</v>
      </c>
      <c r="AD73" s="144">
        <f>AB73*'Daftar HPP'!$G$39</f>
        <v>1100</v>
      </c>
      <c r="AF73" s="141">
        <v>7</v>
      </c>
      <c r="AG73" s="142" t="s">
        <v>251</v>
      </c>
      <c r="AH73" s="141">
        <v>1</v>
      </c>
      <c r="AI73" s="141" t="s">
        <v>28</v>
      </c>
      <c r="AJ73" s="144">
        <f>AH73*'Daftar HPP'!$G$39</f>
        <v>1100</v>
      </c>
    </row>
    <row r="74" spans="2:36" x14ac:dyDescent="0.45">
      <c r="B74" s="153"/>
      <c r="C74" s="150"/>
      <c r="D74" s="261" t="s">
        <v>53</v>
      </c>
      <c r="E74" s="261"/>
      <c r="F74" s="190">
        <f>SUM(F67:F73)</f>
        <v>13790.123068956338</v>
      </c>
      <c r="H74" s="153"/>
      <c r="I74" s="150"/>
      <c r="J74" s="261" t="s">
        <v>53</v>
      </c>
      <c r="K74" s="261"/>
      <c r="L74" s="190">
        <f>SUM(L67:L73)</f>
        <v>13688.918193809885</v>
      </c>
      <c r="N74" s="153"/>
      <c r="O74" s="150"/>
      <c r="P74" s="261" t="s">
        <v>53</v>
      </c>
      <c r="Q74" s="261"/>
      <c r="R74" s="190">
        <f>SUM(R67:R73)</f>
        <v>13343.570681080355</v>
      </c>
      <c r="T74" s="153"/>
      <c r="U74" s="150"/>
      <c r="V74" s="261" t="s">
        <v>53</v>
      </c>
      <c r="W74" s="261"/>
      <c r="X74" s="190">
        <f>SUM(X67:X73)</f>
        <v>20539.937582512957</v>
      </c>
      <c r="Z74" s="153"/>
      <c r="AA74" s="150"/>
      <c r="AB74" s="261" t="s">
        <v>53</v>
      </c>
      <c r="AC74" s="261"/>
      <c r="AD74" s="190">
        <f>SUM(AD67:AD73)</f>
        <v>20438.732707366504</v>
      </c>
      <c r="AF74" s="153"/>
      <c r="AG74" s="150"/>
      <c r="AH74" s="261" t="s">
        <v>53</v>
      </c>
      <c r="AI74" s="261"/>
      <c r="AJ74" s="190">
        <f>SUM(AJ67:AJ73)</f>
        <v>20093.385194636976</v>
      </c>
    </row>
    <row r="75" spans="2:36" x14ac:dyDescent="0.45">
      <c r="B75" s="153"/>
      <c r="C75" s="153"/>
      <c r="D75" s="256" t="s">
        <v>116</v>
      </c>
      <c r="E75" s="256"/>
      <c r="F75" s="147">
        <v>26000</v>
      </c>
      <c r="H75" s="153"/>
      <c r="I75" s="153"/>
      <c r="J75" s="256" t="s">
        <v>116</v>
      </c>
      <c r="K75" s="256"/>
      <c r="L75" s="147">
        <v>26000</v>
      </c>
      <c r="N75" s="153"/>
      <c r="O75" s="153"/>
      <c r="P75" s="256" t="s">
        <v>116</v>
      </c>
      <c r="Q75" s="256"/>
      <c r="R75" s="147">
        <v>26000</v>
      </c>
      <c r="T75" s="153"/>
      <c r="U75" s="153"/>
      <c r="V75" s="256" t="s">
        <v>116</v>
      </c>
      <c r="W75" s="256"/>
      <c r="X75" s="147">
        <v>38000</v>
      </c>
      <c r="Z75" s="153"/>
      <c r="AA75" s="153"/>
      <c r="AB75" s="256" t="s">
        <v>116</v>
      </c>
      <c r="AC75" s="256"/>
      <c r="AD75" s="147">
        <v>38000</v>
      </c>
      <c r="AF75" s="153"/>
      <c r="AG75" s="153"/>
      <c r="AH75" s="256" t="s">
        <v>116</v>
      </c>
      <c r="AI75" s="256"/>
      <c r="AJ75" s="147">
        <v>38000</v>
      </c>
    </row>
    <row r="76" spans="2:36" x14ac:dyDescent="0.45">
      <c r="B76" s="153"/>
      <c r="C76" s="153"/>
      <c r="D76" s="256" t="s">
        <v>119</v>
      </c>
      <c r="E76" s="256"/>
      <c r="F76" s="148">
        <f>F75-F74</f>
        <v>12209.876931043662</v>
      </c>
      <c r="H76" s="153"/>
      <c r="I76" s="153"/>
      <c r="J76" s="256" t="s">
        <v>119</v>
      </c>
      <c r="K76" s="256"/>
      <c r="L76" s="148">
        <f>L75-L74</f>
        <v>12311.081806190115</v>
      </c>
      <c r="N76" s="153"/>
      <c r="O76" s="153"/>
      <c r="P76" s="256" t="s">
        <v>119</v>
      </c>
      <c r="Q76" s="256"/>
      <c r="R76" s="148">
        <f>R75-R74</f>
        <v>12656.429318919645</v>
      </c>
      <c r="T76" s="153"/>
      <c r="U76" s="153"/>
      <c r="V76" s="256" t="s">
        <v>119</v>
      </c>
      <c r="W76" s="256"/>
      <c r="X76" s="148">
        <f>X75-X74</f>
        <v>17460.062417487043</v>
      </c>
      <c r="Z76" s="153"/>
      <c r="AA76" s="153"/>
      <c r="AB76" s="256" t="s">
        <v>119</v>
      </c>
      <c r="AC76" s="256"/>
      <c r="AD76" s="148">
        <f>AD75-AD74</f>
        <v>17561.267292633496</v>
      </c>
      <c r="AF76" s="153"/>
      <c r="AG76" s="153"/>
      <c r="AH76" s="256" t="s">
        <v>119</v>
      </c>
      <c r="AI76" s="256"/>
      <c r="AJ76" s="148">
        <f>AJ75-AJ74</f>
        <v>17906.614805363024</v>
      </c>
    </row>
    <row r="77" spans="2:36" x14ac:dyDescent="0.45">
      <c r="Z77" s="153"/>
      <c r="AA77" s="153"/>
      <c r="AB77" s="206"/>
      <c r="AC77" s="206"/>
      <c r="AD77" s="157"/>
    </row>
    <row r="78" spans="2:36" ht="14.65" thickBot="1" x14ac:dyDescent="0.5">
      <c r="B78" s="2" t="s">
        <v>257</v>
      </c>
      <c r="H78" s="2" t="s">
        <v>261</v>
      </c>
      <c r="T78" s="2" t="s">
        <v>257</v>
      </c>
      <c r="Z78" s="2" t="s">
        <v>261</v>
      </c>
    </row>
    <row r="79" spans="2:36" x14ac:dyDescent="0.45">
      <c r="B79" s="119" t="s">
        <v>0</v>
      </c>
      <c r="C79" s="119" t="s">
        <v>49</v>
      </c>
      <c r="D79" s="119" t="s">
        <v>34</v>
      </c>
      <c r="E79" s="119" t="s">
        <v>50</v>
      </c>
      <c r="F79" s="119" t="s">
        <v>36</v>
      </c>
      <c r="H79" s="119" t="s">
        <v>0</v>
      </c>
      <c r="I79" s="119" t="s">
        <v>49</v>
      </c>
      <c r="J79" s="119" t="s">
        <v>34</v>
      </c>
      <c r="K79" s="119" t="s">
        <v>50</v>
      </c>
      <c r="L79" s="119" t="s">
        <v>36</v>
      </c>
      <c r="T79" s="119" t="s">
        <v>0</v>
      </c>
      <c r="U79" s="119" t="s">
        <v>49</v>
      </c>
      <c r="V79" s="119" t="s">
        <v>34</v>
      </c>
      <c r="W79" s="119" t="s">
        <v>50</v>
      </c>
      <c r="X79" s="119" t="s">
        <v>36</v>
      </c>
      <c r="Z79" s="119" t="s">
        <v>0</v>
      </c>
      <c r="AA79" s="119" t="s">
        <v>49</v>
      </c>
      <c r="AB79" s="119" t="s">
        <v>34</v>
      </c>
      <c r="AC79" s="119" t="s">
        <v>50</v>
      </c>
      <c r="AD79" s="119" t="s">
        <v>36</v>
      </c>
    </row>
    <row r="80" spans="2:36" x14ac:dyDescent="0.45">
      <c r="B80" s="141">
        <v>1</v>
      </c>
      <c r="C80" s="142" t="s">
        <v>112</v>
      </c>
      <c r="D80" s="141">
        <v>1</v>
      </c>
      <c r="E80" s="141" t="s">
        <v>6</v>
      </c>
      <c r="F80" s="143">
        <f>D80*'Daftar HPP'!$L$57</f>
        <v>4875.7315789473687</v>
      </c>
      <c r="H80" s="141">
        <v>1</v>
      </c>
      <c r="I80" s="142" t="s">
        <v>112</v>
      </c>
      <c r="J80" s="141">
        <v>1</v>
      </c>
      <c r="K80" s="141" t="s">
        <v>6</v>
      </c>
      <c r="L80" s="143">
        <f>J80*'Daftar HPP'!$L$57</f>
        <v>4875.7315789473687</v>
      </c>
      <c r="T80" s="141">
        <v>1</v>
      </c>
      <c r="U80" s="142" t="s">
        <v>112</v>
      </c>
      <c r="V80" s="141">
        <v>2</v>
      </c>
      <c r="W80" s="141" t="s">
        <v>6</v>
      </c>
      <c r="X80" s="143">
        <f>V80*'Daftar HPP'!$L$57</f>
        <v>9751.4631578947374</v>
      </c>
      <c r="Z80" s="141">
        <v>1</v>
      </c>
      <c r="AA80" s="142" t="s">
        <v>112</v>
      </c>
      <c r="AB80" s="141">
        <v>2</v>
      </c>
      <c r="AC80" s="141" t="s">
        <v>6</v>
      </c>
      <c r="AD80" s="143">
        <f>AB80*'Daftar HPP'!$L$57</f>
        <v>9751.4631578947374</v>
      </c>
    </row>
    <row r="81" spans="2:36" x14ac:dyDescent="0.45">
      <c r="B81" s="141">
        <v>2</v>
      </c>
      <c r="C81" s="142" t="s">
        <v>20</v>
      </c>
      <c r="D81" s="141">
        <v>40</v>
      </c>
      <c r="E81" s="141" t="s">
        <v>8</v>
      </c>
      <c r="F81" s="143">
        <f>D81*'Daftar HPP'!$F$114</f>
        <v>1874.0829346092503</v>
      </c>
      <c r="H81" s="141">
        <v>2</v>
      </c>
      <c r="I81" s="142" t="s">
        <v>20</v>
      </c>
      <c r="J81" s="141">
        <v>40</v>
      </c>
      <c r="K81" s="141" t="s">
        <v>8</v>
      </c>
      <c r="L81" s="143">
        <f>J81*'Daftar HPP'!$F$114</f>
        <v>1874.0829346092503</v>
      </c>
      <c r="T81" s="141">
        <v>2</v>
      </c>
      <c r="U81" s="142" t="s">
        <v>20</v>
      </c>
      <c r="V81" s="141">
        <v>80</v>
      </c>
      <c r="W81" s="141" t="s">
        <v>8</v>
      </c>
      <c r="X81" s="143">
        <f>V81*'Daftar HPP'!$F$114</f>
        <v>3748.1658692185006</v>
      </c>
      <c r="Z81" s="141">
        <v>2</v>
      </c>
      <c r="AA81" s="142" t="s">
        <v>20</v>
      </c>
      <c r="AB81" s="141">
        <v>80</v>
      </c>
      <c r="AC81" s="141" t="s">
        <v>8</v>
      </c>
      <c r="AD81" s="143">
        <f>AB81*'Daftar HPP'!$F$114</f>
        <v>3748.1658692185006</v>
      </c>
    </row>
    <row r="82" spans="2:36" x14ac:dyDescent="0.45">
      <c r="B82" s="141">
        <v>3</v>
      </c>
      <c r="C82" s="142" t="s">
        <v>271</v>
      </c>
      <c r="D82" s="141">
        <v>1</v>
      </c>
      <c r="E82" s="141" t="s">
        <v>118</v>
      </c>
      <c r="F82" s="143">
        <f>D82*'Daftar HPP'!$G$13</f>
        <v>1200</v>
      </c>
      <c r="H82" s="141">
        <v>3</v>
      </c>
      <c r="I82" s="142" t="s">
        <v>271</v>
      </c>
      <c r="J82" s="141">
        <v>1</v>
      </c>
      <c r="K82" s="141" t="s">
        <v>118</v>
      </c>
      <c r="L82" s="143">
        <f>J82*'Daftar HPP'!$G$13</f>
        <v>1200</v>
      </c>
      <c r="T82" s="141">
        <v>3</v>
      </c>
      <c r="U82" s="142" t="s">
        <v>271</v>
      </c>
      <c r="V82" s="141">
        <v>1</v>
      </c>
      <c r="W82" s="141" t="s">
        <v>118</v>
      </c>
      <c r="X82" s="143">
        <f>V82*'Daftar HPP'!$G$13</f>
        <v>1200</v>
      </c>
      <c r="Z82" s="141">
        <v>3</v>
      </c>
      <c r="AA82" s="142" t="s">
        <v>271</v>
      </c>
      <c r="AB82" s="141">
        <v>1</v>
      </c>
      <c r="AC82" s="141" t="s">
        <v>118</v>
      </c>
      <c r="AD82" s="143">
        <f>AB82*'Daftar HPP'!$G$13</f>
        <v>1200</v>
      </c>
    </row>
    <row r="83" spans="2:36" x14ac:dyDescent="0.45">
      <c r="B83" s="141">
        <v>4</v>
      </c>
      <c r="C83" s="142" t="s">
        <v>17</v>
      </c>
      <c r="D83" s="141">
        <v>30</v>
      </c>
      <c r="E83" s="141" t="s">
        <v>8</v>
      </c>
      <c r="F83" s="144">
        <f>D83*'Daftar HPP'!$F$152</f>
        <v>2093.9588100686497</v>
      </c>
      <c r="H83" s="141">
        <v>4</v>
      </c>
      <c r="I83" s="142" t="s">
        <v>25</v>
      </c>
      <c r="J83" s="141">
        <v>30</v>
      </c>
      <c r="K83" s="141" t="s">
        <v>8</v>
      </c>
      <c r="L83" s="144">
        <f>J83*'Daftar HPP'!$G$22</f>
        <v>1995</v>
      </c>
      <c r="T83" s="141">
        <v>4</v>
      </c>
      <c r="U83" s="142" t="s">
        <v>17</v>
      </c>
      <c r="V83" s="141">
        <v>30</v>
      </c>
      <c r="W83" s="141" t="s">
        <v>8</v>
      </c>
      <c r="X83" s="144">
        <f>V83*'Daftar HPP'!$F$152</f>
        <v>2093.9588100686497</v>
      </c>
      <c r="Z83" s="141">
        <v>4</v>
      </c>
      <c r="AA83" s="142" t="s">
        <v>25</v>
      </c>
      <c r="AB83" s="141">
        <v>30</v>
      </c>
      <c r="AC83" s="141" t="s">
        <v>8</v>
      </c>
      <c r="AD83" s="144">
        <f>AB83*'Daftar HPP'!$G$22</f>
        <v>1995</v>
      </c>
    </row>
    <row r="84" spans="2:36" x14ac:dyDescent="0.45">
      <c r="B84" s="141">
        <v>5</v>
      </c>
      <c r="C84" s="142" t="s">
        <v>107</v>
      </c>
      <c r="D84" s="141">
        <v>30</v>
      </c>
      <c r="E84" s="141" t="s">
        <v>8</v>
      </c>
      <c r="F84" s="144">
        <f>D84*'Daftar HPP'!$L$152</f>
        <v>2144.1036802532649</v>
      </c>
      <c r="H84" s="141">
        <v>5</v>
      </c>
      <c r="I84" s="142" t="s">
        <v>26</v>
      </c>
      <c r="J84" s="141">
        <v>30</v>
      </c>
      <c r="K84" s="141" t="s">
        <v>8</v>
      </c>
      <c r="L84" s="144">
        <f>J84*'Daftar HPP'!$L$143</f>
        <v>1647.4064221926658</v>
      </c>
      <c r="T84" s="141">
        <v>5</v>
      </c>
      <c r="U84" s="142" t="s">
        <v>107</v>
      </c>
      <c r="V84" s="141">
        <v>30</v>
      </c>
      <c r="W84" s="141" t="s">
        <v>8</v>
      </c>
      <c r="X84" s="144">
        <f>V84*'Daftar HPP'!$L$152</f>
        <v>2144.1036802532649</v>
      </c>
      <c r="Z84" s="141">
        <v>5</v>
      </c>
      <c r="AA84" s="142" t="s">
        <v>26</v>
      </c>
      <c r="AB84" s="141">
        <v>30</v>
      </c>
      <c r="AC84" s="141" t="s">
        <v>8</v>
      </c>
      <c r="AD84" s="144">
        <f>AB84*'Daftar HPP'!$L$143</f>
        <v>1647.4064221926658</v>
      </c>
    </row>
    <row r="85" spans="2:36" x14ac:dyDescent="0.45">
      <c r="B85" s="141">
        <v>6</v>
      </c>
      <c r="C85" s="142" t="s">
        <v>275</v>
      </c>
      <c r="D85" s="141">
        <v>1</v>
      </c>
      <c r="E85" s="141" t="s">
        <v>8</v>
      </c>
      <c r="F85" s="144">
        <f>D85*'Daftar HPP'!$G$34</f>
        <v>500</v>
      </c>
      <c r="H85" s="141">
        <v>6</v>
      </c>
      <c r="I85" s="142" t="s">
        <v>275</v>
      </c>
      <c r="J85" s="141">
        <v>1</v>
      </c>
      <c r="K85" s="141" t="s">
        <v>8</v>
      </c>
      <c r="L85" s="144">
        <f>J85*'Daftar HPP'!$G$34</f>
        <v>500</v>
      </c>
      <c r="T85" s="141">
        <v>6</v>
      </c>
      <c r="U85" s="142" t="s">
        <v>275</v>
      </c>
      <c r="V85" s="141">
        <v>1</v>
      </c>
      <c r="W85" s="141" t="s">
        <v>8</v>
      </c>
      <c r="X85" s="144">
        <f>V85*'Daftar HPP'!$G$34</f>
        <v>500</v>
      </c>
      <c r="Z85" s="141">
        <v>6</v>
      </c>
      <c r="AA85" s="142" t="s">
        <v>275</v>
      </c>
      <c r="AB85" s="141">
        <v>1</v>
      </c>
      <c r="AC85" s="141" t="s">
        <v>8</v>
      </c>
      <c r="AD85" s="144">
        <f>AB85*'Daftar HPP'!$G$34</f>
        <v>500</v>
      </c>
    </row>
    <row r="86" spans="2:36" x14ac:dyDescent="0.45">
      <c r="B86" s="141">
        <v>7</v>
      </c>
      <c r="C86" s="142" t="s">
        <v>251</v>
      </c>
      <c r="D86" s="141">
        <v>1</v>
      </c>
      <c r="E86" s="141" t="s">
        <v>28</v>
      </c>
      <c r="F86" s="144">
        <f>D86*'Daftar HPP'!$G$39</f>
        <v>1100</v>
      </c>
      <c r="H86" s="141">
        <v>7</v>
      </c>
      <c r="I86" s="142" t="s">
        <v>251</v>
      </c>
      <c r="J86" s="141">
        <v>1</v>
      </c>
      <c r="K86" s="141" t="s">
        <v>28</v>
      </c>
      <c r="L86" s="144">
        <f>J86*'Daftar HPP'!$G$39</f>
        <v>1100</v>
      </c>
      <c r="T86" s="141">
        <v>7</v>
      </c>
      <c r="U86" s="142" t="s">
        <v>251</v>
      </c>
      <c r="V86" s="141">
        <v>1</v>
      </c>
      <c r="W86" s="141" t="s">
        <v>28</v>
      </c>
      <c r="X86" s="144">
        <f>V86*'Daftar HPP'!$G$39</f>
        <v>1100</v>
      </c>
      <c r="Z86" s="141">
        <v>7</v>
      </c>
      <c r="AA86" s="142" t="s">
        <v>251</v>
      </c>
      <c r="AB86" s="141">
        <v>1</v>
      </c>
      <c r="AC86" s="141" t="s">
        <v>28</v>
      </c>
      <c r="AD86" s="144">
        <f>AB86*'Daftar HPP'!$G$39</f>
        <v>1100</v>
      </c>
    </row>
    <row r="87" spans="2:36" x14ac:dyDescent="0.45">
      <c r="B87" s="153"/>
      <c r="C87" s="150"/>
      <c r="D87" s="261" t="s">
        <v>53</v>
      </c>
      <c r="E87" s="261"/>
      <c r="F87" s="190">
        <f>SUM(F80:F86)</f>
        <v>13787.877003878533</v>
      </c>
      <c r="H87" s="153"/>
      <c r="I87" s="150"/>
      <c r="J87" s="257" t="s">
        <v>53</v>
      </c>
      <c r="K87" s="258"/>
      <c r="L87" s="190">
        <f>SUM(L80:L86)</f>
        <v>13192.220935749285</v>
      </c>
      <c r="T87" s="153"/>
      <c r="U87" s="150"/>
      <c r="V87" s="261" t="s">
        <v>53</v>
      </c>
      <c r="W87" s="261"/>
      <c r="X87" s="190">
        <f>SUM(X80:X86)</f>
        <v>20537.691517435152</v>
      </c>
      <c r="Z87" s="153"/>
      <c r="AA87" s="150"/>
      <c r="AB87" s="257" t="s">
        <v>53</v>
      </c>
      <c r="AC87" s="258"/>
      <c r="AD87" s="190">
        <f>SUM(AD80:AD86)</f>
        <v>19942.035449305906</v>
      </c>
    </row>
    <row r="88" spans="2:36" x14ac:dyDescent="0.45">
      <c r="B88" s="153"/>
      <c r="C88" s="153"/>
      <c r="D88" s="256" t="s">
        <v>116</v>
      </c>
      <c r="E88" s="256"/>
      <c r="F88" s="147">
        <v>26000</v>
      </c>
      <c r="H88" s="153"/>
      <c r="I88" s="153"/>
      <c r="J88" s="251" t="s">
        <v>116</v>
      </c>
      <c r="K88" s="252"/>
      <c r="L88" s="147">
        <v>26000</v>
      </c>
      <c r="T88" s="153"/>
      <c r="U88" s="153"/>
      <c r="V88" s="256" t="s">
        <v>116</v>
      </c>
      <c r="W88" s="256"/>
      <c r="X88" s="147">
        <v>38000</v>
      </c>
      <c r="Z88" s="153"/>
      <c r="AA88" s="153"/>
      <c r="AB88" s="251" t="s">
        <v>116</v>
      </c>
      <c r="AC88" s="252"/>
      <c r="AD88" s="147">
        <v>38000</v>
      </c>
    </row>
    <row r="89" spans="2:36" x14ac:dyDescent="0.45">
      <c r="B89" s="153"/>
      <c r="C89" s="153"/>
      <c r="D89" s="256" t="s">
        <v>119</v>
      </c>
      <c r="E89" s="256"/>
      <c r="F89" s="148">
        <f>F88-F87</f>
        <v>12212.122996121467</v>
      </c>
      <c r="H89" s="153"/>
      <c r="I89" s="153"/>
      <c r="J89" s="256" t="s">
        <v>119</v>
      </c>
      <c r="K89" s="256"/>
      <c r="L89" s="148">
        <f>L88-L87</f>
        <v>12807.779064250715</v>
      </c>
      <c r="T89" s="153"/>
      <c r="U89" s="153"/>
      <c r="V89" s="256" t="s">
        <v>119</v>
      </c>
      <c r="W89" s="256"/>
      <c r="X89" s="148">
        <f>X88-X87</f>
        <v>17462.308482564848</v>
      </c>
      <c r="Z89" s="153"/>
      <c r="AA89" s="153"/>
      <c r="AB89" s="256" t="s">
        <v>119</v>
      </c>
      <c r="AC89" s="256"/>
      <c r="AD89" s="148">
        <f>AD88-AD87</f>
        <v>18057.964550694094</v>
      </c>
    </row>
    <row r="90" spans="2:36" x14ac:dyDescent="0.45">
      <c r="B90" s="153"/>
      <c r="C90" s="153"/>
      <c r="D90" s="206"/>
      <c r="E90" s="206"/>
      <c r="F90" s="157"/>
      <c r="N90" s="153"/>
      <c r="O90" s="153"/>
      <c r="P90" s="206"/>
      <c r="Q90" s="206"/>
      <c r="R90" s="157"/>
      <c r="T90" s="153"/>
      <c r="U90" s="153"/>
      <c r="V90" s="206"/>
      <c r="W90" s="206"/>
      <c r="X90" s="157"/>
      <c r="AF90" s="153"/>
      <c r="AG90" s="153"/>
      <c r="AH90" s="206"/>
      <c r="AI90" s="206"/>
      <c r="AJ90" s="157"/>
    </row>
    <row r="91" spans="2:36" ht="14.65" thickBot="1" x14ac:dyDescent="0.5">
      <c r="B91" s="2" t="s">
        <v>258</v>
      </c>
      <c r="H91" s="2" t="s">
        <v>262</v>
      </c>
      <c r="N91" s="153"/>
      <c r="O91" s="153"/>
      <c r="P91" s="206"/>
      <c r="Q91" s="206"/>
      <c r="R91" s="157"/>
      <c r="T91" s="2" t="s">
        <v>258</v>
      </c>
      <c r="Z91" s="2" t="s">
        <v>262</v>
      </c>
      <c r="AF91" s="153"/>
      <c r="AG91" s="153"/>
      <c r="AH91" s="206"/>
      <c r="AI91" s="206"/>
      <c r="AJ91" s="157"/>
    </row>
    <row r="92" spans="2:36" x14ac:dyDescent="0.45">
      <c r="B92" s="119" t="s">
        <v>0</v>
      </c>
      <c r="C92" s="119" t="s">
        <v>49</v>
      </c>
      <c r="D92" s="119" t="s">
        <v>34</v>
      </c>
      <c r="E92" s="119" t="s">
        <v>50</v>
      </c>
      <c r="F92" s="119" t="s">
        <v>36</v>
      </c>
      <c r="H92" s="119" t="s">
        <v>0</v>
      </c>
      <c r="I92" s="119" t="s">
        <v>49</v>
      </c>
      <c r="J92" s="119" t="s">
        <v>34</v>
      </c>
      <c r="K92" s="119" t="s">
        <v>50</v>
      </c>
      <c r="L92" s="119" t="s">
        <v>36</v>
      </c>
      <c r="N92" s="153"/>
      <c r="O92" s="153"/>
      <c r="P92" s="206"/>
      <c r="Q92" s="206"/>
      <c r="R92" s="157"/>
      <c r="T92" s="119" t="s">
        <v>0</v>
      </c>
      <c r="U92" s="119" t="s">
        <v>49</v>
      </c>
      <c r="V92" s="119" t="s">
        <v>34</v>
      </c>
      <c r="W92" s="119" t="s">
        <v>50</v>
      </c>
      <c r="X92" s="119" t="s">
        <v>36</v>
      </c>
      <c r="Z92" s="119" t="s">
        <v>0</v>
      </c>
      <c r="AA92" s="119" t="s">
        <v>49</v>
      </c>
      <c r="AB92" s="119" t="s">
        <v>34</v>
      </c>
      <c r="AC92" s="119" t="s">
        <v>50</v>
      </c>
      <c r="AD92" s="119" t="s">
        <v>36</v>
      </c>
      <c r="AF92" s="153"/>
      <c r="AG92" s="153"/>
      <c r="AH92" s="206"/>
      <c r="AI92" s="206"/>
      <c r="AJ92" s="157"/>
    </row>
    <row r="93" spans="2:36" x14ac:dyDescent="0.45">
      <c r="B93" s="141">
        <v>1</v>
      </c>
      <c r="C93" s="142" t="s">
        <v>112</v>
      </c>
      <c r="D93" s="141">
        <v>1</v>
      </c>
      <c r="E93" s="141" t="s">
        <v>6</v>
      </c>
      <c r="F93" s="143">
        <f>D93*'Daftar HPP'!$L$57</f>
        <v>4875.7315789473687</v>
      </c>
      <c r="H93" s="141">
        <v>1</v>
      </c>
      <c r="I93" s="142" t="s">
        <v>112</v>
      </c>
      <c r="J93" s="141">
        <v>1</v>
      </c>
      <c r="K93" s="141" t="s">
        <v>6</v>
      </c>
      <c r="L93" s="143">
        <f>J93*'Daftar HPP'!$L$57</f>
        <v>4875.7315789473687</v>
      </c>
      <c r="N93" s="153"/>
      <c r="O93" s="153"/>
      <c r="P93" s="206"/>
      <c r="Q93" s="206"/>
      <c r="R93" s="157"/>
      <c r="T93" s="141">
        <v>1</v>
      </c>
      <c r="U93" s="142" t="s">
        <v>112</v>
      </c>
      <c r="V93" s="141">
        <v>2</v>
      </c>
      <c r="W93" s="141" t="s">
        <v>6</v>
      </c>
      <c r="X93" s="143">
        <f>V93*'Daftar HPP'!$L$57</f>
        <v>9751.4631578947374</v>
      </c>
      <c r="Z93" s="141">
        <v>1</v>
      </c>
      <c r="AA93" s="142" t="s">
        <v>112</v>
      </c>
      <c r="AB93" s="141">
        <v>2</v>
      </c>
      <c r="AC93" s="141" t="s">
        <v>6</v>
      </c>
      <c r="AD93" s="143">
        <f>AB93*'Daftar HPP'!$L$57</f>
        <v>9751.4631578947374</v>
      </c>
      <c r="AF93" s="153"/>
      <c r="AG93" s="153"/>
      <c r="AH93" s="206"/>
      <c r="AI93" s="206"/>
      <c r="AJ93" s="157"/>
    </row>
    <row r="94" spans="2:36" x14ac:dyDescent="0.45">
      <c r="B94" s="141">
        <v>2</v>
      </c>
      <c r="C94" s="142" t="s">
        <v>20</v>
      </c>
      <c r="D94" s="141">
        <v>40</v>
      </c>
      <c r="E94" s="141" t="s">
        <v>8</v>
      </c>
      <c r="F94" s="143">
        <f>D94*'Daftar HPP'!$F$114</f>
        <v>1874.0829346092503</v>
      </c>
      <c r="H94" s="141">
        <v>2</v>
      </c>
      <c r="I94" s="142" t="s">
        <v>20</v>
      </c>
      <c r="J94" s="141">
        <v>40</v>
      </c>
      <c r="K94" s="141" t="s">
        <v>8</v>
      </c>
      <c r="L94" s="143">
        <f>J94*'Daftar HPP'!$F$114</f>
        <v>1874.0829346092503</v>
      </c>
      <c r="N94" s="153"/>
      <c r="O94" s="153"/>
      <c r="P94" s="206"/>
      <c r="Q94" s="206"/>
      <c r="R94" s="157"/>
      <c r="T94" s="141">
        <v>2</v>
      </c>
      <c r="U94" s="142" t="s">
        <v>20</v>
      </c>
      <c r="V94" s="141">
        <v>80</v>
      </c>
      <c r="W94" s="141" t="s">
        <v>8</v>
      </c>
      <c r="X94" s="143">
        <f>V94*'Daftar HPP'!$F$114</f>
        <v>3748.1658692185006</v>
      </c>
      <c r="Z94" s="141">
        <v>2</v>
      </c>
      <c r="AA94" s="142" t="s">
        <v>20</v>
      </c>
      <c r="AB94" s="141">
        <v>80</v>
      </c>
      <c r="AC94" s="141" t="s">
        <v>8</v>
      </c>
      <c r="AD94" s="143">
        <f>AB94*'Daftar HPP'!$F$114</f>
        <v>3748.1658692185006</v>
      </c>
      <c r="AF94" s="153"/>
      <c r="AG94" s="153"/>
      <c r="AH94" s="206"/>
      <c r="AI94" s="206"/>
      <c r="AJ94" s="157"/>
    </row>
    <row r="95" spans="2:36" x14ac:dyDescent="0.45">
      <c r="B95" s="141">
        <v>3</v>
      </c>
      <c r="C95" s="142" t="s">
        <v>271</v>
      </c>
      <c r="D95" s="141">
        <v>1</v>
      </c>
      <c r="E95" s="141" t="s">
        <v>118</v>
      </c>
      <c r="F95" s="143">
        <f>D95*'Daftar HPP'!$G$13</f>
        <v>1200</v>
      </c>
      <c r="H95" s="141">
        <v>3</v>
      </c>
      <c r="I95" s="142" t="s">
        <v>271</v>
      </c>
      <c r="J95" s="141">
        <v>1</v>
      </c>
      <c r="K95" s="141" t="s">
        <v>118</v>
      </c>
      <c r="L95" s="143">
        <f>J95*'Daftar HPP'!$G$13</f>
        <v>1200</v>
      </c>
      <c r="N95" s="153"/>
      <c r="O95" s="153"/>
      <c r="P95" s="206"/>
      <c r="Q95" s="206"/>
      <c r="R95" s="157"/>
      <c r="T95" s="141">
        <v>3</v>
      </c>
      <c r="U95" s="142" t="s">
        <v>271</v>
      </c>
      <c r="V95" s="141">
        <v>1</v>
      </c>
      <c r="W95" s="141" t="s">
        <v>118</v>
      </c>
      <c r="X95" s="143">
        <f>V95*'Daftar HPP'!$G$13</f>
        <v>1200</v>
      </c>
      <c r="Z95" s="141">
        <v>3</v>
      </c>
      <c r="AA95" s="142" t="s">
        <v>271</v>
      </c>
      <c r="AB95" s="141">
        <v>1</v>
      </c>
      <c r="AC95" s="141" t="s">
        <v>118</v>
      </c>
      <c r="AD95" s="143">
        <f>AB95*'Daftar HPP'!$G$13</f>
        <v>1200</v>
      </c>
      <c r="AF95" s="153"/>
      <c r="AG95" s="153"/>
      <c r="AH95" s="206"/>
      <c r="AI95" s="206"/>
      <c r="AJ95" s="157"/>
    </row>
    <row r="96" spans="2:36" x14ac:dyDescent="0.45">
      <c r="B96" s="141">
        <v>4</v>
      </c>
      <c r="C96" s="142" t="s">
        <v>17</v>
      </c>
      <c r="D96" s="141">
        <v>30</v>
      </c>
      <c r="E96" s="141" t="s">
        <v>8</v>
      </c>
      <c r="F96" s="144">
        <f>D96*'Daftar HPP'!$F$152</f>
        <v>2093.9588100686497</v>
      </c>
      <c r="H96" s="141">
        <v>4</v>
      </c>
      <c r="I96" s="142" t="s">
        <v>107</v>
      </c>
      <c r="J96" s="141">
        <v>30</v>
      </c>
      <c r="K96" s="141" t="s">
        <v>8</v>
      </c>
      <c r="L96" s="144">
        <f>J96*'Daftar HPP'!$L$152</f>
        <v>2144.1036802532649</v>
      </c>
      <c r="N96" s="153"/>
      <c r="O96" s="153"/>
      <c r="P96" s="206"/>
      <c r="Q96" s="206"/>
      <c r="R96" s="157"/>
      <c r="T96" s="141">
        <v>4</v>
      </c>
      <c r="U96" s="142" t="s">
        <v>17</v>
      </c>
      <c r="V96" s="141">
        <v>30</v>
      </c>
      <c r="W96" s="141" t="s">
        <v>8</v>
      </c>
      <c r="X96" s="144">
        <f>V96*'Daftar HPP'!$F$152</f>
        <v>2093.9588100686497</v>
      </c>
      <c r="Z96" s="141">
        <v>4</v>
      </c>
      <c r="AA96" s="142" t="s">
        <v>107</v>
      </c>
      <c r="AB96" s="141">
        <v>30</v>
      </c>
      <c r="AC96" s="141" t="s">
        <v>8</v>
      </c>
      <c r="AD96" s="144">
        <f>AB96*'Daftar HPP'!$L$152</f>
        <v>2144.1036802532649</v>
      </c>
      <c r="AF96" s="153"/>
      <c r="AG96" s="153"/>
      <c r="AH96" s="206"/>
      <c r="AI96" s="206"/>
      <c r="AJ96" s="157"/>
    </row>
    <row r="97" spans="2:36" x14ac:dyDescent="0.45">
      <c r="B97" s="141">
        <v>5</v>
      </c>
      <c r="C97" s="142" t="s">
        <v>26</v>
      </c>
      <c r="D97" s="141">
        <v>30</v>
      </c>
      <c r="E97" s="141" t="s">
        <v>8</v>
      </c>
      <c r="F97" s="144">
        <f>D97*'Daftar HPP'!$L$143</f>
        <v>1647.4064221926658</v>
      </c>
      <c r="H97" s="141">
        <v>5</v>
      </c>
      <c r="I97" s="142" t="s">
        <v>105</v>
      </c>
      <c r="J97" s="141">
        <v>30</v>
      </c>
      <c r="K97" s="141" t="s">
        <v>8</v>
      </c>
      <c r="L97" s="144">
        <f>J97*'Daftar HPP'!$F$143</f>
        <v>2146.3497453310692</v>
      </c>
      <c r="N97" s="153"/>
      <c r="O97" s="153"/>
      <c r="P97" s="206"/>
      <c r="Q97" s="206"/>
      <c r="R97" s="157"/>
      <c r="T97" s="141">
        <v>5</v>
      </c>
      <c r="U97" s="142" t="s">
        <v>26</v>
      </c>
      <c r="V97" s="141">
        <v>30</v>
      </c>
      <c r="W97" s="141" t="s">
        <v>8</v>
      </c>
      <c r="X97" s="144">
        <f>V97*'Daftar HPP'!$L$143</f>
        <v>1647.4064221926658</v>
      </c>
      <c r="Z97" s="141">
        <v>5</v>
      </c>
      <c r="AA97" s="142" t="s">
        <v>105</v>
      </c>
      <c r="AB97" s="141">
        <v>30</v>
      </c>
      <c r="AC97" s="141" t="s">
        <v>8</v>
      </c>
      <c r="AD97" s="144">
        <f>AB97*'Daftar HPP'!$F$143</f>
        <v>2146.3497453310692</v>
      </c>
      <c r="AF97" s="153"/>
      <c r="AG97" s="153"/>
      <c r="AH97" s="206"/>
      <c r="AI97" s="206"/>
      <c r="AJ97" s="157"/>
    </row>
    <row r="98" spans="2:36" x14ac:dyDescent="0.45">
      <c r="B98" s="141">
        <v>6</v>
      </c>
      <c r="C98" s="142" t="s">
        <v>275</v>
      </c>
      <c r="D98" s="141">
        <v>1</v>
      </c>
      <c r="E98" s="141" t="s">
        <v>8</v>
      </c>
      <c r="F98" s="144">
        <f>D98*'Daftar HPP'!$G$34</f>
        <v>500</v>
      </c>
      <c r="H98" s="141">
        <v>6</v>
      </c>
      <c r="I98" s="142" t="s">
        <v>275</v>
      </c>
      <c r="J98" s="141">
        <v>1</v>
      </c>
      <c r="K98" s="141" t="s">
        <v>8</v>
      </c>
      <c r="L98" s="144">
        <f>J98*'Daftar HPP'!$G$34</f>
        <v>500</v>
      </c>
      <c r="N98" s="153"/>
      <c r="O98" s="153"/>
      <c r="P98" s="206"/>
      <c r="Q98" s="206"/>
      <c r="R98" s="157"/>
      <c r="T98" s="141">
        <v>6</v>
      </c>
      <c r="U98" s="142" t="s">
        <v>275</v>
      </c>
      <c r="V98" s="141">
        <v>1</v>
      </c>
      <c r="W98" s="141" t="s">
        <v>8</v>
      </c>
      <c r="X98" s="144">
        <f>V98*'Daftar HPP'!$G$34</f>
        <v>500</v>
      </c>
      <c r="Z98" s="141">
        <v>6</v>
      </c>
      <c r="AA98" s="142" t="s">
        <v>275</v>
      </c>
      <c r="AB98" s="141">
        <v>1</v>
      </c>
      <c r="AC98" s="141" t="s">
        <v>8</v>
      </c>
      <c r="AD98" s="144">
        <f>AB98*'Daftar HPP'!$G$34</f>
        <v>500</v>
      </c>
      <c r="AF98" s="153"/>
      <c r="AG98" s="153"/>
      <c r="AH98" s="206"/>
      <c r="AI98" s="206"/>
      <c r="AJ98" s="157"/>
    </row>
    <row r="99" spans="2:36" x14ac:dyDescent="0.45">
      <c r="B99" s="141">
        <v>7</v>
      </c>
      <c r="C99" s="142" t="s">
        <v>251</v>
      </c>
      <c r="D99" s="141">
        <v>1</v>
      </c>
      <c r="E99" s="141" t="s">
        <v>28</v>
      </c>
      <c r="F99" s="144">
        <f>D99*'Daftar HPP'!$G$39</f>
        <v>1100</v>
      </c>
      <c r="H99" s="141">
        <v>7</v>
      </c>
      <c r="I99" s="142" t="s">
        <v>251</v>
      </c>
      <c r="J99" s="141">
        <v>1</v>
      </c>
      <c r="K99" s="141" t="s">
        <v>28</v>
      </c>
      <c r="L99" s="144">
        <f>J99*'Daftar HPP'!$G$39</f>
        <v>1100</v>
      </c>
      <c r="N99" s="153"/>
      <c r="O99" s="153"/>
      <c r="P99" s="206"/>
      <c r="Q99" s="206"/>
      <c r="R99" s="157"/>
      <c r="T99" s="141">
        <v>7</v>
      </c>
      <c r="U99" s="142" t="s">
        <v>251</v>
      </c>
      <c r="V99" s="141">
        <v>1</v>
      </c>
      <c r="W99" s="141" t="s">
        <v>28</v>
      </c>
      <c r="X99" s="144">
        <f>V99*'Daftar HPP'!$G$39</f>
        <v>1100</v>
      </c>
      <c r="Z99" s="141">
        <v>7</v>
      </c>
      <c r="AA99" s="142" t="s">
        <v>251</v>
      </c>
      <c r="AB99" s="141">
        <v>1</v>
      </c>
      <c r="AC99" s="141" t="s">
        <v>28</v>
      </c>
      <c r="AD99" s="144">
        <f>AB99*'Daftar HPP'!$G$39</f>
        <v>1100</v>
      </c>
      <c r="AF99" s="153"/>
      <c r="AG99" s="153"/>
      <c r="AH99" s="206"/>
      <c r="AI99" s="206"/>
      <c r="AJ99" s="157"/>
    </row>
    <row r="100" spans="2:36" x14ac:dyDescent="0.45">
      <c r="B100" s="153"/>
      <c r="C100" s="150"/>
      <c r="D100" s="261" t="s">
        <v>53</v>
      </c>
      <c r="E100" s="261"/>
      <c r="F100" s="190">
        <f>SUM(F93:F99)</f>
        <v>13291.179745817934</v>
      </c>
      <c r="H100" s="153"/>
      <c r="I100" s="150"/>
      <c r="J100" s="261" t="s">
        <v>53</v>
      </c>
      <c r="K100" s="261"/>
      <c r="L100" s="190">
        <f>SUM(L93:L99)</f>
        <v>13840.267939140955</v>
      </c>
      <c r="N100" s="153"/>
      <c r="O100" s="153"/>
      <c r="P100" s="206"/>
      <c r="Q100" s="206"/>
      <c r="R100" s="157"/>
      <c r="T100" s="153"/>
      <c r="U100" s="150"/>
      <c r="V100" s="261" t="s">
        <v>53</v>
      </c>
      <c r="W100" s="261"/>
      <c r="X100" s="190">
        <f>SUM(X93:X99)</f>
        <v>20040.994259374555</v>
      </c>
      <c r="Z100" s="153"/>
      <c r="AA100" s="150"/>
      <c r="AB100" s="261" t="s">
        <v>53</v>
      </c>
      <c r="AC100" s="261"/>
      <c r="AD100" s="190">
        <f>SUM(AD93:AD99)</f>
        <v>20590.082452697574</v>
      </c>
      <c r="AF100" s="153"/>
      <c r="AG100" s="153"/>
      <c r="AH100" s="206"/>
      <c r="AI100" s="206"/>
      <c r="AJ100" s="157"/>
    </row>
    <row r="101" spans="2:36" x14ac:dyDescent="0.45">
      <c r="B101" s="153"/>
      <c r="C101" s="153"/>
      <c r="D101" s="256" t="s">
        <v>116</v>
      </c>
      <c r="E101" s="256"/>
      <c r="F101" s="147">
        <v>26000</v>
      </c>
      <c r="H101" s="153"/>
      <c r="I101" s="153"/>
      <c r="J101" s="256" t="s">
        <v>116</v>
      </c>
      <c r="K101" s="256"/>
      <c r="L101" s="147">
        <v>26000</v>
      </c>
      <c r="N101" s="153"/>
      <c r="O101" s="153"/>
      <c r="P101" s="206"/>
      <c r="Q101" s="206"/>
      <c r="R101" s="157"/>
      <c r="T101" s="153"/>
      <c r="U101" s="153"/>
      <c r="V101" s="256" t="s">
        <v>116</v>
      </c>
      <c r="W101" s="256"/>
      <c r="X101" s="147">
        <v>38000</v>
      </c>
      <c r="Z101" s="153"/>
      <c r="AA101" s="153"/>
      <c r="AB101" s="256" t="s">
        <v>116</v>
      </c>
      <c r="AC101" s="256"/>
      <c r="AD101" s="147">
        <v>38000</v>
      </c>
      <c r="AF101" s="153"/>
      <c r="AG101" s="153"/>
      <c r="AH101" s="206"/>
      <c r="AI101" s="206"/>
      <c r="AJ101" s="157"/>
    </row>
    <row r="102" spans="2:36" x14ac:dyDescent="0.45">
      <c r="B102" s="153"/>
      <c r="C102" s="153"/>
      <c r="D102" s="256" t="s">
        <v>119</v>
      </c>
      <c r="E102" s="256"/>
      <c r="F102" s="148">
        <f>F101-F100</f>
        <v>12708.820254182066</v>
      </c>
      <c r="H102" s="153"/>
      <c r="I102" s="153"/>
      <c r="J102" s="256" t="s">
        <v>119</v>
      </c>
      <c r="K102" s="256"/>
      <c r="L102" s="148">
        <f>L101-L100</f>
        <v>12159.732060859045</v>
      </c>
      <c r="N102" s="153"/>
      <c r="O102" s="153"/>
      <c r="P102" s="206"/>
      <c r="Q102" s="206"/>
      <c r="R102" s="157"/>
      <c r="T102" s="153"/>
      <c r="U102" s="153"/>
      <c r="V102" s="256" t="s">
        <v>119</v>
      </c>
      <c r="W102" s="256"/>
      <c r="X102" s="148">
        <f>X101-X100</f>
        <v>17959.005740625445</v>
      </c>
      <c r="Z102" s="153"/>
      <c r="AA102" s="153"/>
      <c r="AB102" s="256" t="s">
        <v>119</v>
      </c>
      <c r="AC102" s="256"/>
      <c r="AD102" s="148">
        <f>AD101-AD100</f>
        <v>17409.917547302426</v>
      </c>
      <c r="AF102" s="153"/>
      <c r="AG102" s="153"/>
      <c r="AH102" s="206"/>
      <c r="AI102" s="206"/>
      <c r="AJ102" s="157"/>
    </row>
    <row r="103" spans="2:36" x14ac:dyDescent="0.45">
      <c r="B103" s="153"/>
      <c r="C103" s="153"/>
      <c r="D103" s="206"/>
      <c r="E103" s="206"/>
      <c r="F103" s="157"/>
      <c r="H103" s="153"/>
      <c r="I103" s="153"/>
      <c r="J103" s="206"/>
      <c r="K103" s="206"/>
      <c r="L103" s="157"/>
      <c r="N103" s="153"/>
      <c r="O103" s="153"/>
      <c r="P103" s="206"/>
      <c r="Q103" s="206"/>
      <c r="R103" s="157"/>
      <c r="T103" s="153"/>
      <c r="U103" s="153"/>
      <c r="V103" s="206"/>
      <c r="W103" s="206"/>
      <c r="X103" s="157"/>
      <c r="Z103" s="153"/>
      <c r="AA103" s="153"/>
      <c r="AB103" s="206"/>
      <c r="AC103" s="206"/>
      <c r="AD103" s="157"/>
      <c r="AF103" s="153"/>
      <c r="AG103" s="153"/>
      <c r="AH103" s="206"/>
      <c r="AI103" s="206"/>
      <c r="AJ103" s="157"/>
    </row>
    <row r="104" spans="2:36" ht="15.4" x14ac:dyDescent="0.45">
      <c r="B104" s="259" t="s">
        <v>334</v>
      </c>
      <c r="C104" s="259"/>
      <c r="D104" s="259"/>
      <c r="E104" s="259"/>
      <c r="F104" s="259"/>
      <c r="G104" s="259"/>
      <c r="H104" s="259"/>
      <c r="I104" s="259"/>
      <c r="J104" s="259"/>
      <c r="K104" s="259"/>
      <c r="L104" s="259"/>
      <c r="M104" s="259"/>
      <c r="N104" s="259"/>
      <c r="O104" s="259"/>
      <c r="P104" s="259"/>
      <c r="Q104" s="259"/>
      <c r="R104" s="259"/>
      <c r="T104" s="259" t="s">
        <v>335</v>
      </c>
      <c r="U104" s="259"/>
      <c r="V104" s="259"/>
      <c r="W104" s="259"/>
      <c r="X104" s="259"/>
      <c r="Y104" s="259"/>
      <c r="Z104" s="259"/>
      <c r="AA104" s="259"/>
      <c r="AB104" s="259"/>
      <c r="AC104" s="259"/>
      <c r="AD104" s="259"/>
      <c r="AE104" s="259"/>
      <c r="AF104" s="259"/>
      <c r="AG104" s="259"/>
      <c r="AH104" s="259"/>
      <c r="AI104" s="259"/>
      <c r="AJ104" s="259"/>
    </row>
    <row r="105" spans="2:36" ht="14.65" thickBot="1" x14ac:dyDescent="0.5">
      <c r="B105" s="2" t="s">
        <v>253</v>
      </c>
      <c r="H105" s="2" t="s">
        <v>259</v>
      </c>
      <c r="N105" s="2" t="s">
        <v>263</v>
      </c>
      <c r="T105" s="2" t="s">
        <v>253</v>
      </c>
      <c r="Z105" s="2" t="s">
        <v>259</v>
      </c>
      <c r="AF105" s="2" t="s">
        <v>263</v>
      </c>
    </row>
    <row r="106" spans="2:36" x14ac:dyDescent="0.45">
      <c r="B106" s="119" t="s">
        <v>0</v>
      </c>
      <c r="C106" s="119" t="s">
        <v>49</v>
      </c>
      <c r="D106" s="119" t="s">
        <v>34</v>
      </c>
      <c r="E106" s="119" t="s">
        <v>50</v>
      </c>
      <c r="F106" s="119" t="s">
        <v>36</v>
      </c>
      <c r="H106" s="119" t="s">
        <v>0</v>
      </c>
      <c r="I106" s="119" t="s">
        <v>49</v>
      </c>
      <c r="J106" s="119" t="s">
        <v>34</v>
      </c>
      <c r="K106" s="119" t="s">
        <v>50</v>
      </c>
      <c r="L106" s="119" t="s">
        <v>36</v>
      </c>
      <c r="N106" s="119" t="s">
        <v>0</v>
      </c>
      <c r="O106" s="119" t="s">
        <v>49</v>
      </c>
      <c r="P106" s="119" t="s">
        <v>34</v>
      </c>
      <c r="Q106" s="119" t="s">
        <v>50</v>
      </c>
      <c r="R106" s="119" t="s">
        <v>36</v>
      </c>
      <c r="T106" s="119" t="s">
        <v>0</v>
      </c>
      <c r="U106" s="119" t="s">
        <v>49</v>
      </c>
      <c r="V106" s="119" t="s">
        <v>34</v>
      </c>
      <c r="W106" s="119" t="s">
        <v>50</v>
      </c>
      <c r="X106" s="119" t="s">
        <v>36</v>
      </c>
      <c r="Z106" s="119" t="s">
        <v>0</v>
      </c>
      <c r="AA106" s="119" t="s">
        <v>49</v>
      </c>
      <c r="AB106" s="119" t="s">
        <v>34</v>
      </c>
      <c r="AC106" s="119" t="s">
        <v>50</v>
      </c>
      <c r="AD106" s="119" t="s">
        <v>36</v>
      </c>
      <c r="AF106" s="119" t="s">
        <v>0</v>
      </c>
      <c r="AG106" s="119" t="s">
        <v>49</v>
      </c>
      <c r="AH106" s="119" t="s">
        <v>34</v>
      </c>
      <c r="AI106" s="119" t="s">
        <v>50</v>
      </c>
      <c r="AJ106" s="119" t="s">
        <v>36</v>
      </c>
    </row>
    <row r="107" spans="2:36" x14ac:dyDescent="0.45">
      <c r="B107" s="141">
        <v>1</v>
      </c>
      <c r="C107" s="142" t="s">
        <v>112</v>
      </c>
      <c r="D107" s="141">
        <v>1</v>
      </c>
      <c r="E107" s="141" t="s">
        <v>6</v>
      </c>
      <c r="F107" s="143">
        <f>D107*'Daftar HPP'!$L$57</f>
        <v>4875.7315789473687</v>
      </c>
      <c r="H107" s="141">
        <v>1</v>
      </c>
      <c r="I107" s="142" t="s">
        <v>112</v>
      </c>
      <c r="J107" s="141">
        <v>1</v>
      </c>
      <c r="K107" s="141" t="s">
        <v>6</v>
      </c>
      <c r="L107" s="143">
        <f>J107*'Daftar HPP'!$L$57</f>
        <v>4875.7315789473687</v>
      </c>
      <c r="N107" s="141">
        <v>1</v>
      </c>
      <c r="O107" s="142" t="s">
        <v>112</v>
      </c>
      <c r="P107" s="141">
        <v>1</v>
      </c>
      <c r="Q107" s="141" t="s">
        <v>6</v>
      </c>
      <c r="R107" s="143">
        <f>P107*'Daftar HPP'!$L$57</f>
        <v>4875.7315789473687</v>
      </c>
      <c r="T107" s="141">
        <v>1</v>
      </c>
      <c r="U107" s="142" t="s">
        <v>112</v>
      </c>
      <c r="V107" s="141">
        <v>2</v>
      </c>
      <c r="W107" s="141" t="s">
        <v>6</v>
      </c>
      <c r="X107" s="143">
        <f>V107*'Daftar HPP'!$L$57</f>
        <v>9751.4631578947374</v>
      </c>
      <c r="Z107" s="141">
        <v>1</v>
      </c>
      <c r="AA107" s="142" t="s">
        <v>112</v>
      </c>
      <c r="AB107" s="141">
        <v>2</v>
      </c>
      <c r="AC107" s="141" t="s">
        <v>6</v>
      </c>
      <c r="AD107" s="143">
        <f>AB107*'Daftar HPP'!$L$57</f>
        <v>9751.4631578947374</v>
      </c>
      <c r="AF107" s="141">
        <v>1</v>
      </c>
      <c r="AG107" s="142" t="s">
        <v>112</v>
      </c>
      <c r="AH107" s="141">
        <v>2</v>
      </c>
      <c r="AI107" s="141" t="s">
        <v>6</v>
      </c>
      <c r="AJ107" s="143">
        <f>AH107*'Daftar HPP'!$L$57</f>
        <v>9751.4631578947374</v>
      </c>
    </row>
    <row r="108" spans="2:36" x14ac:dyDescent="0.45">
      <c r="B108" s="141">
        <v>2</v>
      </c>
      <c r="C108" s="142" t="s">
        <v>18</v>
      </c>
      <c r="D108" s="141">
        <v>40</v>
      </c>
      <c r="E108" s="141" t="s">
        <v>8</v>
      </c>
      <c r="F108" s="143">
        <f>D108*'Daftar HPP'!$F$123</f>
        <v>1845.2950558213715</v>
      </c>
      <c r="H108" s="141">
        <v>2</v>
      </c>
      <c r="I108" s="142" t="s">
        <v>18</v>
      </c>
      <c r="J108" s="141">
        <v>40</v>
      </c>
      <c r="K108" s="141" t="s">
        <v>8</v>
      </c>
      <c r="L108" s="143">
        <f>J108*'Daftar HPP'!$F$123</f>
        <v>1845.2950558213715</v>
      </c>
      <c r="N108" s="141">
        <v>2</v>
      </c>
      <c r="O108" s="142" t="s">
        <v>18</v>
      </c>
      <c r="P108" s="141">
        <v>40</v>
      </c>
      <c r="Q108" s="141" t="s">
        <v>8</v>
      </c>
      <c r="R108" s="143">
        <f>P108*'Daftar HPP'!$F$123</f>
        <v>1845.2950558213715</v>
      </c>
      <c r="T108" s="141">
        <v>2</v>
      </c>
      <c r="U108" s="142" t="s">
        <v>18</v>
      </c>
      <c r="V108" s="141">
        <v>80</v>
      </c>
      <c r="W108" s="141" t="s">
        <v>8</v>
      </c>
      <c r="X108" s="143">
        <f>V108*'Daftar HPP'!$F$123</f>
        <v>3690.5901116427431</v>
      </c>
      <c r="Z108" s="141">
        <v>2</v>
      </c>
      <c r="AA108" s="142" t="s">
        <v>18</v>
      </c>
      <c r="AB108" s="141">
        <v>80</v>
      </c>
      <c r="AC108" s="141" t="s">
        <v>8</v>
      </c>
      <c r="AD108" s="143">
        <f>AB108*'Daftar HPP'!$F$123</f>
        <v>3690.5901116427431</v>
      </c>
      <c r="AF108" s="141">
        <v>2</v>
      </c>
      <c r="AG108" s="142" t="s">
        <v>18</v>
      </c>
      <c r="AH108" s="141">
        <v>80</v>
      </c>
      <c r="AI108" s="141" t="s">
        <v>8</v>
      </c>
      <c r="AJ108" s="143">
        <f>AH108*'Daftar HPP'!$F$123</f>
        <v>3690.5901116427431</v>
      </c>
    </row>
    <row r="109" spans="2:36" x14ac:dyDescent="0.45">
      <c r="B109" s="141">
        <v>3</v>
      </c>
      <c r="C109" s="142" t="s">
        <v>271</v>
      </c>
      <c r="D109" s="141">
        <v>1</v>
      </c>
      <c r="E109" s="141" t="s">
        <v>118</v>
      </c>
      <c r="F109" s="143">
        <f>D109*'Daftar HPP'!$G$13</f>
        <v>1200</v>
      </c>
      <c r="H109" s="141">
        <v>3</v>
      </c>
      <c r="I109" s="142" t="s">
        <v>271</v>
      </c>
      <c r="J109" s="141">
        <v>1</v>
      </c>
      <c r="K109" s="141" t="s">
        <v>118</v>
      </c>
      <c r="L109" s="143">
        <f>J109*'Daftar HPP'!$G$13</f>
        <v>1200</v>
      </c>
      <c r="N109" s="141">
        <v>3</v>
      </c>
      <c r="O109" s="142" t="s">
        <v>271</v>
      </c>
      <c r="P109" s="141">
        <v>1</v>
      </c>
      <c r="Q109" s="141" t="s">
        <v>118</v>
      </c>
      <c r="R109" s="143">
        <f>P109*'Daftar HPP'!$G$13</f>
        <v>1200</v>
      </c>
      <c r="T109" s="141">
        <v>3</v>
      </c>
      <c r="U109" s="142" t="s">
        <v>271</v>
      </c>
      <c r="V109" s="141">
        <v>1</v>
      </c>
      <c r="W109" s="141" t="s">
        <v>118</v>
      </c>
      <c r="X109" s="143">
        <f>V109*'Daftar HPP'!$G$13</f>
        <v>1200</v>
      </c>
      <c r="Z109" s="141">
        <v>3</v>
      </c>
      <c r="AA109" s="142" t="s">
        <v>271</v>
      </c>
      <c r="AB109" s="141">
        <v>1</v>
      </c>
      <c r="AC109" s="141" t="s">
        <v>118</v>
      </c>
      <c r="AD109" s="143">
        <f>AB109*'Daftar HPP'!$G$13</f>
        <v>1200</v>
      </c>
      <c r="AF109" s="141">
        <v>3</v>
      </c>
      <c r="AG109" s="142" t="s">
        <v>271</v>
      </c>
      <c r="AH109" s="141">
        <v>1</v>
      </c>
      <c r="AI109" s="141" t="s">
        <v>118</v>
      </c>
      <c r="AJ109" s="143">
        <f>AH109*'Daftar HPP'!$G$13</f>
        <v>1200</v>
      </c>
    </row>
    <row r="110" spans="2:36" x14ac:dyDescent="0.45">
      <c r="B110" s="141">
        <v>4</v>
      </c>
      <c r="C110" s="142" t="s">
        <v>17</v>
      </c>
      <c r="D110" s="141">
        <v>30</v>
      </c>
      <c r="E110" s="141" t="s">
        <v>8</v>
      </c>
      <c r="F110" s="144">
        <f>D110*'Daftar HPP'!$F$152</f>
        <v>2093.9588100686497</v>
      </c>
      <c r="H110" s="141">
        <v>4</v>
      </c>
      <c r="I110" s="142" t="s">
        <v>25</v>
      </c>
      <c r="J110" s="141">
        <v>30</v>
      </c>
      <c r="K110" s="141" t="s">
        <v>8</v>
      </c>
      <c r="L110" s="144">
        <f>J110*'Daftar HPP'!$G$22</f>
        <v>1995</v>
      </c>
      <c r="N110" s="141">
        <v>4</v>
      </c>
      <c r="O110" s="142" t="s">
        <v>107</v>
      </c>
      <c r="P110" s="141">
        <v>30</v>
      </c>
      <c r="Q110" s="141" t="s">
        <v>8</v>
      </c>
      <c r="R110" s="144">
        <f>P110*'Daftar HPP'!$L$152</f>
        <v>2144.1036802532649</v>
      </c>
      <c r="T110" s="141">
        <v>4</v>
      </c>
      <c r="U110" s="142" t="s">
        <v>17</v>
      </c>
      <c r="V110" s="141">
        <v>30</v>
      </c>
      <c r="W110" s="141" t="s">
        <v>8</v>
      </c>
      <c r="X110" s="144">
        <f>V110*'Daftar HPP'!$F$152</f>
        <v>2093.9588100686497</v>
      </c>
      <c r="Z110" s="141">
        <v>4</v>
      </c>
      <c r="AA110" s="142" t="s">
        <v>25</v>
      </c>
      <c r="AB110" s="141">
        <v>30</v>
      </c>
      <c r="AC110" s="141" t="s">
        <v>8</v>
      </c>
      <c r="AD110" s="144">
        <f>AB110*'Daftar HPP'!$G$22</f>
        <v>1995</v>
      </c>
      <c r="AF110" s="141">
        <v>4</v>
      </c>
      <c r="AG110" s="142" t="s">
        <v>107</v>
      </c>
      <c r="AH110" s="141">
        <v>30</v>
      </c>
      <c r="AI110" s="141" t="s">
        <v>8</v>
      </c>
      <c r="AJ110" s="144">
        <f>AH110*'Daftar HPP'!$L$152</f>
        <v>2144.1036802532649</v>
      </c>
    </row>
    <row r="111" spans="2:36" x14ac:dyDescent="0.45">
      <c r="B111" s="141">
        <v>5</v>
      </c>
      <c r="C111" s="142" t="s">
        <v>25</v>
      </c>
      <c r="D111" s="141">
        <v>30</v>
      </c>
      <c r="E111" s="141" t="s">
        <v>8</v>
      </c>
      <c r="F111" s="144">
        <f>D111*'Daftar HPP'!$G$22</f>
        <v>1995</v>
      </c>
      <c r="H111" s="141">
        <v>5</v>
      </c>
      <c r="I111" s="142" t="s">
        <v>105</v>
      </c>
      <c r="J111" s="141">
        <v>30</v>
      </c>
      <c r="K111" s="141" t="s">
        <v>8</v>
      </c>
      <c r="L111" s="144">
        <f>J111*'Daftar HPP'!$F$143</f>
        <v>2146.3497453310692</v>
      </c>
      <c r="N111" s="141">
        <v>5</v>
      </c>
      <c r="O111" s="142" t="s">
        <v>26</v>
      </c>
      <c r="P111" s="141">
        <v>30</v>
      </c>
      <c r="Q111" s="141" t="s">
        <v>8</v>
      </c>
      <c r="R111" s="144">
        <f>P111*'Daftar HPP'!$L$143</f>
        <v>1647.4064221926658</v>
      </c>
      <c r="T111" s="141">
        <v>5</v>
      </c>
      <c r="U111" s="142" t="s">
        <v>25</v>
      </c>
      <c r="V111" s="141">
        <v>30</v>
      </c>
      <c r="W111" s="141" t="s">
        <v>8</v>
      </c>
      <c r="X111" s="144">
        <f>V111*'Daftar HPP'!$G$22</f>
        <v>1995</v>
      </c>
      <c r="Z111" s="141">
        <v>5</v>
      </c>
      <c r="AA111" s="142" t="s">
        <v>105</v>
      </c>
      <c r="AB111" s="141">
        <v>30</v>
      </c>
      <c r="AC111" s="141" t="s">
        <v>8</v>
      </c>
      <c r="AD111" s="144">
        <f>AB111*'Daftar HPP'!$F$143</f>
        <v>2146.3497453310692</v>
      </c>
      <c r="AF111" s="141">
        <v>5</v>
      </c>
      <c r="AG111" s="142" t="s">
        <v>26</v>
      </c>
      <c r="AH111" s="141">
        <v>30</v>
      </c>
      <c r="AI111" s="141" t="s">
        <v>8</v>
      </c>
      <c r="AJ111" s="144">
        <f>AH111*'Daftar HPP'!$L$143</f>
        <v>1647.4064221926658</v>
      </c>
    </row>
    <row r="112" spans="2:36" x14ac:dyDescent="0.45">
      <c r="B112" s="141">
        <v>6</v>
      </c>
      <c r="C112" s="142" t="s">
        <v>275</v>
      </c>
      <c r="D112" s="141">
        <v>1</v>
      </c>
      <c r="E112" s="141" t="s">
        <v>8</v>
      </c>
      <c r="F112" s="144">
        <f>D112*'Daftar HPP'!$G$34</f>
        <v>500</v>
      </c>
      <c r="H112" s="141">
        <v>6</v>
      </c>
      <c r="I112" s="142" t="s">
        <v>275</v>
      </c>
      <c r="J112" s="141">
        <v>1</v>
      </c>
      <c r="K112" s="141" t="s">
        <v>8</v>
      </c>
      <c r="L112" s="144">
        <f>J112*'Daftar HPP'!$G$34</f>
        <v>500</v>
      </c>
      <c r="N112" s="141">
        <v>6</v>
      </c>
      <c r="O112" s="142" t="s">
        <v>275</v>
      </c>
      <c r="P112" s="141">
        <v>1</v>
      </c>
      <c r="Q112" s="141" t="s">
        <v>8</v>
      </c>
      <c r="R112" s="144">
        <f>P112*'Daftar HPP'!$G$34</f>
        <v>500</v>
      </c>
      <c r="T112" s="141">
        <v>6</v>
      </c>
      <c r="U112" s="142" t="s">
        <v>275</v>
      </c>
      <c r="V112" s="141">
        <v>1</v>
      </c>
      <c r="W112" s="141" t="s">
        <v>8</v>
      </c>
      <c r="X112" s="144">
        <f>V112*'Daftar HPP'!$G$34</f>
        <v>500</v>
      </c>
      <c r="Z112" s="141">
        <v>6</v>
      </c>
      <c r="AA112" s="142" t="s">
        <v>275</v>
      </c>
      <c r="AB112" s="141">
        <v>1</v>
      </c>
      <c r="AC112" s="141" t="s">
        <v>8</v>
      </c>
      <c r="AD112" s="144">
        <f>AB112*'Daftar HPP'!$G$34</f>
        <v>500</v>
      </c>
      <c r="AF112" s="141">
        <v>6</v>
      </c>
      <c r="AG112" s="142" t="s">
        <v>275</v>
      </c>
      <c r="AH112" s="141">
        <v>1</v>
      </c>
      <c r="AI112" s="141" t="s">
        <v>8</v>
      </c>
      <c r="AJ112" s="144">
        <f>AH112*'Daftar HPP'!$G$34</f>
        <v>500</v>
      </c>
    </row>
    <row r="113" spans="2:36" x14ac:dyDescent="0.45">
      <c r="B113" s="141">
        <v>7</v>
      </c>
      <c r="C113" s="142" t="s">
        <v>251</v>
      </c>
      <c r="D113" s="141">
        <v>1</v>
      </c>
      <c r="E113" s="141" t="s">
        <v>28</v>
      </c>
      <c r="F113" s="144">
        <f>D113*'Daftar HPP'!$G$39</f>
        <v>1100</v>
      </c>
      <c r="H113" s="141">
        <v>7</v>
      </c>
      <c r="I113" s="142" t="s">
        <v>251</v>
      </c>
      <c r="J113" s="141">
        <v>1</v>
      </c>
      <c r="K113" s="141" t="s">
        <v>28</v>
      </c>
      <c r="L113" s="144">
        <f>J113*'Daftar HPP'!$G$39</f>
        <v>1100</v>
      </c>
      <c r="N113" s="141">
        <v>7</v>
      </c>
      <c r="O113" s="142" t="s">
        <v>251</v>
      </c>
      <c r="P113" s="141">
        <v>1</v>
      </c>
      <c r="Q113" s="141" t="s">
        <v>28</v>
      </c>
      <c r="R113" s="144">
        <f>P113*'Daftar HPP'!$G$39</f>
        <v>1100</v>
      </c>
      <c r="T113" s="141">
        <v>7</v>
      </c>
      <c r="U113" s="142" t="s">
        <v>251</v>
      </c>
      <c r="V113" s="141">
        <v>1</v>
      </c>
      <c r="W113" s="141" t="s">
        <v>28</v>
      </c>
      <c r="X113" s="144">
        <f>V113*'Daftar HPP'!$G$39</f>
        <v>1100</v>
      </c>
      <c r="Z113" s="141">
        <v>7</v>
      </c>
      <c r="AA113" s="142" t="s">
        <v>251</v>
      </c>
      <c r="AB113" s="141">
        <v>1</v>
      </c>
      <c r="AC113" s="141" t="s">
        <v>28</v>
      </c>
      <c r="AD113" s="144">
        <f>AB113*'Daftar HPP'!$G$39</f>
        <v>1100</v>
      </c>
      <c r="AF113" s="141">
        <v>7</v>
      </c>
      <c r="AG113" s="142" t="s">
        <v>251</v>
      </c>
      <c r="AH113" s="141">
        <v>1</v>
      </c>
      <c r="AI113" s="141" t="s">
        <v>28</v>
      </c>
      <c r="AJ113" s="144">
        <f>AH113*'Daftar HPP'!$G$39</f>
        <v>1100</v>
      </c>
    </row>
    <row r="114" spans="2:36" x14ac:dyDescent="0.45">
      <c r="B114" s="153"/>
      <c r="C114" s="150"/>
      <c r="D114" s="261" t="s">
        <v>53</v>
      </c>
      <c r="E114" s="261"/>
      <c r="F114" s="190">
        <f>SUM(F107:F113)</f>
        <v>13609.98544483739</v>
      </c>
      <c r="H114" s="153"/>
      <c r="I114" s="150"/>
      <c r="J114" s="261" t="s">
        <v>53</v>
      </c>
      <c r="K114" s="261"/>
      <c r="L114" s="190">
        <f>SUM(L107:L113)</f>
        <v>13662.376380099809</v>
      </c>
      <c r="N114" s="153"/>
      <c r="O114" s="150"/>
      <c r="P114" s="261" t="s">
        <v>53</v>
      </c>
      <c r="Q114" s="261"/>
      <c r="R114" s="190">
        <f>SUM(R107:R113)</f>
        <v>13312.53673721467</v>
      </c>
      <c r="T114" s="153"/>
      <c r="U114" s="150"/>
      <c r="V114" s="261" t="s">
        <v>53</v>
      </c>
      <c r="W114" s="261"/>
      <c r="X114" s="190">
        <f>SUM(X107:X113)</f>
        <v>20331.012079606131</v>
      </c>
      <c r="Z114" s="153"/>
      <c r="AA114" s="150"/>
      <c r="AB114" s="261" t="s">
        <v>53</v>
      </c>
      <c r="AC114" s="261"/>
      <c r="AD114" s="190">
        <f>SUM(AD107:AD113)</f>
        <v>20383.403014868549</v>
      </c>
      <c r="AF114" s="153"/>
      <c r="AG114" s="150"/>
      <c r="AH114" s="261" t="s">
        <v>53</v>
      </c>
      <c r="AI114" s="261"/>
      <c r="AJ114" s="190">
        <f>SUM(AJ107:AJ113)</f>
        <v>20033.563371983411</v>
      </c>
    </row>
    <row r="115" spans="2:36" x14ac:dyDescent="0.45">
      <c r="B115" s="153"/>
      <c r="C115" s="153"/>
      <c r="D115" s="256" t="s">
        <v>116</v>
      </c>
      <c r="E115" s="256"/>
      <c r="F115" s="147">
        <v>26000</v>
      </c>
      <c r="H115" s="153"/>
      <c r="I115" s="153"/>
      <c r="J115" s="256" t="s">
        <v>116</v>
      </c>
      <c r="K115" s="256"/>
      <c r="L115" s="147">
        <v>26000</v>
      </c>
      <c r="N115" s="153"/>
      <c r="O115" s="153"/>
      <c r="P115" s="256" t="s">
        <v>116</v>
      </c>
      <c r="Q115" s="256"/>
      <c r="R115" s="147">
        <v>26000</v>
      </c>
      <c r="T115" s="153"/>
      <c r="U115" s="153"/>
      <c r="V115" s="256" t="s">
        <v>116</v>
      </c>
      <c r="W115" s="256"/>
      <c r="X115" s="147">
        <v>38000</v>
      </c>
      <c r="Z115" s="153"/>
      <c r="AA115" s="153"/>
      <c r="AB115" s="256" t="s">
        <v>116</v>
      </c>
      <c r="AC115" s="256"/>
      <c r="AD115" s="147">
        <v>38000</v>
      </c>
      <c r="AF115" s="153"/>
      <c r="AG115" s="153"/>
      <c r="AH115" s="256" t="s">
        <v>116</v>
      </c>
      <c r="AI115" s="256"/>
      <c r="AJ115" s="147">
        <v>38000</v>
      </c>
    </row>
    <row r="116" spans="2:36" x14ac:dyDescent="0.45">
      <c r="B116" s="153"/>
      <c r="C116" s="153"/>
      <c r="D116" s="256" t="s">
        <v>119</v>
      </c>
      <c r="E116" s="256"/>
      <c r="F116" s="148">
        <f>F115-F114</f>
        <v>12390.01455516261</v>
      </c>
      <c r="H116" s="153"/>
      <c r="I116" s="153"/>
      <c r="J116" s="256" t="s">
        <v>119</v>
      </c>
      <c r="K116" s="256"/>
      <c r="L116" s="148">
        <f>L115-L114</f>
        <v>12337.623619900191</v>
      </c>
      <c r="N116" s="153"/>
      <c r="O116" s="153"/>
      <c r="P116" s="256" t="s">
        <v>119</v>
      </c>
      <c r="Q116" s="256"/>
      <c r="R116" s="148">
        <f>R115-R114</f>
        <v>12687.46326278533</v>
      </c>
      <c r="T116" s="153"/>
      <c r="U116" s="153"/>
      <c r="V116" s="256" t="s">
        <v>119</v>
      </c>
      <c r="W116" s="256"/>
      <c r="X116" s="148">
        <f>X115-X114</f>
        <v>17668.987920393869</v>
      </c>
      <c r="Z116" s="153"/>
      <c r="AA116" s="153"/>
      <c r="AB116" s="256" t="s">
        <v>119</v>
      </c>
      <c r="AC116" s="256"/>
      <c r="AD116" s="148">
        <f>AD115-AD114</f>
        <v>17616.596985131451</v>
      </c>
      <c r="AF116" s="153"/>
      <c r="AG116" s="153"/>
      <c r="AH116" s="256" t="s">
        <v>119</v>
      </c>
      <c r="AI116" s="256"/>
      <c r="AJ116" s="148">
        <f>AJ115-AJ114</f>
        <v>17966.436628016589</v>
      </c>
    </row>
    <row r="118" spans="2:36" ht="14.65" thickBot="1" x14ac:dyDescent="0.5">
      <c r="B118" s="2" t="s">
        <v>256</v>
      </c>
      <c r="H118" s="2" t="s">
        <v>260</v>
      </c>
      <c r="N118" s="2" t="s">
        <v>307</v>
      </c>
      <c r="T118" s="2" t="s">
        <v>256</v>
      </c>
      <c r="Z118" s="2" t="s">
        <v>260</v>
      </c>
      <c r="AF118" s="2" t="s">
        <v>307</v>
      </c>
    </row>
    <row r="119" spans="2:36" x14ac:dyDescent="0.45">
      <c r="B119" s="119" t="s">
        <v>0</v>
      </c>
      <c r="C119" s="119" t="s">
        <v>49</v>
      </c>
      <c r="D119" s="119" t="s">
        <v>34</v>
      </c>
      <c r="E119" s="119" t="s">
        <v>50</v>
      </c>
      <c r="F119" s="119" t="s">
        <v>36</v>
      </c>
      <c r="H119" s="119" t="s">
        <v>0</v>
      </c>
      <c r="I119" s="119" t="s">
        <v>49</v>
      </c>
      <c r="J119" s="119" t="s">
        <v>34</v>
      </c>
      <c r="K119" s="119" t="s">
        <v>50</v>
      </c>
      <c r="L119" s="119" t="s">
        <v>36</v>
      </c>
      <c r="N119" s="119" t="s">
        <v>0</v>
      </c>
      <c r="O119" s="119" t="s">
        <v>49</v>
      </c>
      <c r="P119" s="119" t="s">
        <v>34</v>
      </c>
      <c r="Q119" s="119" t="s">
        <v>50</v>
      </c>
      <c r="R119" s="119" t="s">
        <v>36</v>
      </c>
      <c r="T119" s="119" t="s">
        <v>0</v>
      </c>
      <c r="U119" s="119" t="s">
        <v>49</v>
      </c>
      <c r="V119" s="119" t="s">
        <v>34</v>
      </c>
      <c r="W119" s="119" t="s">
        <v>50</v>
      </c>
      <c r="X119" s="119" t="s">
        <v>36</v>
      </c>
      <c r="Z119" s="119" t="s">
        <v>0</v>
      </c>
      <c r="AA119" s="119" t="s">
        <v>49</v>
      </c>
      <c r="AB119" s="119" t="s">
        <v>34</v>
      </c>
      <c r="AC119" s="119" t="s">
        <v>50</v>
      </c>
      <c r="AD119" s="119" t="s">
        <v>36</v>
      </c>
      <c r="AF119" s="119" t="s">
        <v>0</v>
      </c>
      <c r="AG119" s="119" t="s">
        <v>49</v>
      </c>
      <c r="AH119" s="119" t="s">
        <v>34</v>
      </c>
      <c r="AI119" s="119" t="s">
        <v>50</v>
      </c>
      <c r="AJ119" s="119" t="s">
        <v>36</v>
      </c>
    </row>
    <row r="120" spans="2:36" x14ac:dyDescent="0.45">
      <c r="B120" s="141">
        <v>1</v>
      </c>
      <c r="C120" s="142" t="s">
        <v>112</v>
      </c>
      <c r="D120" s="141">
        <v>1</v>
      </c>
      <c r="E120" s="141" t="s">
        <v>6</v>
      </c>
      <c r="F120" s="143">
        <f>D120*'Daftar HPP'!$L$57</f>
        <v>4875.7315789473687</v>
      </c>
      <c r="H120" s="141">
        <v>1</v>
      </c>
      <c r="I120" s="142" t="s">
        <v>112</v>
      </c>
      <c r="J120" s="141">
        <v>1</v>
      </c>
      <c r="K120" s="141" t="s">
        <v>6</v>
      </c>
      <c r="L120" s="143">
        <f>J120*'Daftar HPP'!$L$57</f>
        <v>4875.7315789473687</v>
      </c>
      <c r="N120" s="141">
        <v>1</v>
      </c>
      <c r="O120" s="142" t="s">
        <v>112</v>
      </c>
      <c r="P120" s="141">
        <v>1</v>
      </c>
      <c r="Q120" s="141" t="s">
        <v>6</v>
      </c>
      <c r="R120" s="143">
        <f>P120*'Daftar HPP'!$L$57</f>
        <v>4875.7315789473687</v>
      </c>
      <c r="T120" s="141">
        <v>1</v>
      </c>
      <c r="U120" s="142" t="s">
        <v>112</v>
      </c>
      <c r="V120" s="141">
        <v>2</v>
      </c>
      <c r="W120" s="141" t="s">
        <v>6</v>
      </c>
      <c r="X120" s="143">
        <f>V120*'Daftar HPP'!$L$57</f>
        <v>9751.4631578947374</v>
      </c>
      <c r="Z120" s="141">
        <v>1</v>
      </c>
      <c r="AA120" s="142" t="s">
        <v>112</v>
      </c>
      <c r="AB120" s="141">
        <v>2</v>
      </c>
      <c r="AC120" s="141" t="s">
        <v>6</v>
      </c>
      <c r="AD120" s="143">
        <f>AB120*'Daftar HPP'!$L$57</f>
        <v>9751.4631578947374</v>
      </c>
      <c r="AF120" s="141">
        <v>1</v>
      </c>
      <c r="AG120" s="142" t="s">
        <v>112</v>
      </c>
      <c r="AH120" s="141">
        <v>2</v>
      </c>
      <c r="AI120" s="141" t="s">
        <v>6</v>
      </c>
      <c r="AJ120" s="143">
        <f>AH120*'Daftar HPP'!$L$57</f>
        <v>9751.4631578947374</v>
      </c>
    </row>
    <row r="121" spans="2:36" x14ac:dyDescent="0.45">
      <c r="B121" s="141">
        <v>2</v>
      </c>
      <c r="C121" s="142" t="s">
        <v>18</v>
      </c>
      <c r="D121" s="141">
        <v>40</v>
      </c>
      <c r="E121" s="141" t="s">
        <v>8</v>
      </c>
      <c r="F121" s="143">
        <f>D121*'Daftar HPP'!$F$123</f>
        <v>1845.2950558213715</v>
      </c>
      <c r="H121" s="141">
        <v>2</v>
      </c>
      <c r="I121" s="142" t="s">
        <v>18</v>
      </c>
      <c r="J121" s="141">
        <v>40</v>
      </c>
      <c r="K121" s="141" t="s">
        <v>8</v>
      </c>
      <c r="L121" s="143">
        <f>J121*'Daftar HPP'!$F$123</f>
        <v>1845.2950558213715</v>
      </c>
      <c r="N121" s="141">
        <v>2</v>
      </c>
      <c r="O121" s="142" t="s">
        <v>18</v>
      </c>
      <c r="P121" s="141">
        <v>40</v>
      </c>
      <c r="Q121" s="141" t="s">
        <v>8</v>
      </c>
      <c r="R121" s="143">
        <f>P121*'Daftar HPP'!$F$123</f>
        <v>1845.2950558213715</v>
      </c>
      <c r="T121" s="141">
        <v>2</v>
      </c>
      <c r="U121" s="142" t="s">
        <v>18</v>
      </c>
      <c r="V121" s="141">
        <v>80</v>
      </c>
      <c r="W121" s="141" t="s">
        <v>8</v>
      </c>
      <c r="X121" s="143">
        <f>V121*'Daftar HPP'!$F$123</f>
        <v>3690.5901116427431</v>
      </c>
      <c r="Z121" s="141">
        <v>2</v>
      </c>
      <c r="AA121" s="142" t="s">
        <v>18</v>
      </c>
      <c r="AB121" s="141">
        <v>80</v>
      </c>
      <c r="AC121" s="141" t="s">
        <v>8</v>
      </c>
      <c r="AD121" s="143">
        <f>AB121*'Daftar HPP'!$F$123</f>
        <v>3690.5901116427431</v>
      </c>
      <c r="AF121" s="141">
        <v>2</v>
      </c>
      <c r="AG121" s="142" t="s">
        <v>18</v>
      </c>
      <c r="AH121" s="141">
        <v>80</v>
      </c>
      <c r="AI121" s="141" t="s">
        <v>8</v>
      </c>
      <c r="AJ121" s="143">
        <f>AH121*'Daftar HPP'!$F$123</f>
        <v>3690.5901116427431</v>
      </c>
    </row>
    <row r="122" spans="2:36" x14ac:dyDescent="0.45">
      <c r="B122" s="141">
        <v>3</v>
      </c>
      <c r="C122" s="142" t="s">
        <v>271</v>
      </c>
      <c r="D122" s="141">
        <v>1</v>
      </c>
      <c r="E122" s="141" t="s">
        <v>118</v>
      </c>
      <c r="F122" s="143">
        <f>D122*'Daftar HPP'!$G$13</f>
        <v>1200</v>
      </c>
      <c r="H122" s="141">
        <v>3</v>
      </c>
      <c r="I122" s="142" t="s">
        <v>271</v>
      </c>
      <c r="J122" s="141">
        <v>1</v>
      </c>
      <c r="K122" s="141" t="s">
        <v>118</v>
      </c>
      <c r="L122" s="143">
        <f>J122*'Daftar HPP'!$G$13</f>
        <v>1200</v>
      </c>
      <c r="N122" s="141">
        <v>3</v>
      </c>
      <c r="O122" s="142" t="s">
        <v>271</v>
      </c>
      <c r="P122" s="141">
        <v>1</v>
      </c>
      <c r="Q122" s="141" t="s">
        <v>118</v>
      </c>
      <c r="R122" s="143">
        <f>P122*'Daftar HPP'!$G$13</f>
        <v>1200</v>
      </c>
      <c r="T122" s="141">
        <v>3</v>
      </c>
      <c r="U122" s="142" t="s">
        <v>271</v>
      </c>
      <c r="V122" s="141">
        <v>1</v>
      </c>
      <c r="W122" s="141" t="s">
        <v>118</v>
      </c>
      <c r="X122" s="143">
        <f>V122*'Daftar HPP'!$G$13</f>
        <v>1200</v>
      </c>
      <c r="Z122" s="141">
        <v>3</v>
      </c>
      <c r="AA122" s="142" t="s">
        <v>271</v>
      </c>
      <c r="AB122" s="141">
        <v>1</v>
      </c>
      <c r="AC122" s="141" t="s">
        <v>118</v>
      </c>
      <c r="AD122" s="143">
        <f>AB122*'Daftar HPP'!$G$13</f>
        <v>1200</v>
      </c>
      <c r="AF122" s="141">
        <v>3</v>
      </c>
      <c r="AG122" s="142" t="s">
        <v>271</v>
      </c>
      <c r="AH122" s="141">
        <v>1</v>
      </c>
      <c r="AI122" s="141" t="s">
        <v>118</v>
      </c>
      <c r="AJ122" s="143">
        <f>AH122*'Daftar HPP'!$G$13</f>
        <v>1200</v>
      </c>
    </row>
    <row r="123" spans="2:36" x14ac:dyDescent="0.45">
      <c r="B123" s="141">
        <v>4</v>
      </c>
      <c r="C123" s="142" t="s">
        <v>17</v>
      </c>
      <c r="D123" s="141">
        <v>30</v>
      </c>
      <c r="E123" s="141" t="s">
        <v>8</v>
      </c>
      <c r="F123" s="144">
        <f>D123*'Daftar HPP'!$F$152</f>
        <v>2093.9588100686497</v>
      </c>
      <c r="H123" s="141">
        <v>4</v>
      </c>
      <c r="I123" s="142" t="s">
        <v>25</v>
      </c>
      <c r="J123" s="141">
        <v>30</v>
      </c>
      <c r="K123" s="141" t="s">
        <v>8</v>
      </c>
      <c r="L123" s="144">
        <f>J123*'Daftar HPP'!$G$22</f>
        <v>1995</v>
      </c>
      <c r="N123" s="141">
        <v>4</v>
      </c>
      <c r="O123" s="142" t="s">
        <v>105</v>
      </c>
      <c r="P123" s="141">
        <v>30</v>
      </c>
      <c r="Q123" s="141" t="s">
        <v>8</v>
      </c>
      <c r="R123" s="144">
        <f>P123*'Daftar HPP'!$F$143</f>
        <v>2146.3497453310692</v>
      </c>
      <c r="T123" s="141">
        <v>4</v>
      </c>
      <c r="U123" s="142" t="s">
        <v>17</v>
      </c>
      <c r="V123" s="141">
        <v>30</v>
      </c>
      <c r="W123" s="141" t="s">
        <v>8</v>
      </c>
      <c r="X123" s="144">
        <f>V123*'Daftar HPP'!$F$152</f>
        <v>2093.9588100686497</v>
      </c>
      <c r="Z123" s="141">
        <v>4</v>
      </c>
      <c r="AA123" s="142" t="s">
        <v>25</v>
      </c>
      <c r="AB123" s="141">
        <v>30</v>
      </c>
      <c r="AC123" s="141" t="s">
        <v>8</v>
      </c>
      <c r="AD123" s="144">
        <f>AB123*'Daftar HPP'!$G$22</f>
        <v>1995</v>
      </c>
      <c r="AF123" s="141">
        <v>4</v>
      </c>
      <c r="AG123" s="142" t="s">
        <v>105</v>
      </c>
      <c r="AH123" s="141">
        <v>30</v>
      </c>
      <c r="AI123" s="141" t="s">
        <v>8</v>
      </c>
      <c r="AJ123" s="144">
        <f>AH123*'Daftar HPP'!$F$143</f>
        <v>2146.3497453310692</v>
      </c>
    </row>
    <row r="124" spans="2:36" x14ac:dyDescent="0.45">
      <c r="B124" s="141">
        <v>5</v>
      </c>
      <c r="C124" s="142" t="s">
        <v>105</v>
      </c>
      <c r="D124" s="141">
        <v>30</v>
      </c>
      <c r="E124" s="141" t="s">
        <v>8</v>
      </c>
      <c r="F124" s="144">
        <f>D124*'Daftar HPP'!$F$143</f>
        <v>2146.3497453310692</v>
      </c>
      <c r="H124" s="141">
        <v>5</v>
      </c>
      <c r="I124" s="142" t="s">
        <v>107</v>
      </c>
      <c r="J124" s="141">
        <v>30</v>
      </c>
      <c r="K124" s="141" t="s">
        <v>8</v>
      </c>
      <c r="L124" s="144">
        <f>J124*'Daftar HPP'!$L$152</f>
        <v>2144.1036802532649</v>
      </c>
      <c r="N124" s="141">
        <v>5</v>
      </c>
      <c r="O124" s="142" t="s">
        <v>26</v>
      </c>
      <c r="P124" s="141">
        <v>30</v>
      </c>
      <c r="Q124" s="141" t="s">
        <v>8</v>
      </c>
      <c r="R124" s="144">
        <f>P124*'Daftar HPP'!$L$143</f>
        <v>1647.4064221926658</v>
      </c>
      <c r="T124" s="141">
        <v>5</v>
      </c>
      <c r="U124" s="142" t="s">
        <v>105</v>
      </c>
      <c r="V124" s="141">
        <v>30</v>
      </c>
      <c r="W124" s="141" t="s">
        <v>8</v>
      </c>
      <c r="X124" s="144">
        <f>V124*'Daftar HPP'!$F$143</f>
        <v>2146.3497453310692</v>
      </c>
      <c r="Z124" s="141">
        <v>5</v>
      </c>
      <c r="AA124" s="142" t="s">
        <v>107</v>
      </c>
      <c r="AB124" s="141">
        <v>30</v>
      </c>
      <c r="AC124" s="141" t="s">
        <v>8</v>
      </c>
      <c r="AD124" s="144">
        <f>AB124*'Daftar HPP'!$L$152</f>
        <v>2144.1036802532649</v>
      </c>
      <c r="AF124" s="141">
        <v>5</v>
      </c>
      <c r="AG124" s="142" t="s">
        <v>26</v>
      </c>
      <c r="AH124" s="141">
        <v>30</v>
      </c>
      <c r="AI124" s="141" t="s">
        <v>8</v>
      </c>
      <c r="AJ124" s="144">
        <f>AH124*'Daftar HPP'!$L$143</f>
        <v>1647.4064221926658</v>
      </c>
    </row>
    <row r="125" spans="2:36" x14ac:dyDescent="0.45">
      <c r="B125" s="141">
        <v>6</v>
      </c>
      <c r="C125" s="142" t="s">
        <v>275</v>
      </c>
      <c r="D125" s="141">
        <v>1</v>
      </c>
      <c r="E125" s="141" t="s">
        <v>8</v>
      </c>
      <c r="F125" s="144">
        <f>D125*'Daftar HPP'!$G$34</f>
        <v>500</v>
      </c>
      <c r="H125" s="141">
        <v>6</v>
      </c>
      <c r="I125" s="142" t="s">
        <v>275</v>
      </c>
      <c r="J125" s="141">
        <v>1</v>
      </c>
      <c r="K125" s="141" t="s">
        <v>8</v>
      </c>
      <c r="L125" s="144">
        <f>J125*'Daftar HPP'!$G$34</f>
        <v>500</v>
      </c>
      <c r="N125" s="141">
        <v>6</v>
      </c>
      <c r="O125" s="142" t="s">
        <v>275</v>
      </c>
      <c r="P125" s="141">
        <v>1</v>
      </c>
      <c r="Q125" s="141" t="s">
        <v>8</v>
      </c>
      <c r="R125" s="144">
        <f>P125*'Daftar HPP'!$G$34</f>
        <v>500</v>
      </c>
      <c r="T125" s="141">
        <v>6</v>
      </c>
      <c r="U125" s="142" t="s">
        <v>275</v>
      </c>
      <c r="V125" s="141">
        <v>1</v>
      </c>
      <c r="W125" s="141" t="s">
        <v>8</v>
      </c>
      <c r="X125" s="144">
        <f>V125*'Daftar HPP'!$G$34</f>
        <v>500</v>
      </c>
      <c r="Z125" s="141">
        <v>6</v>
      </c>
      <c r="AA125" s="142" t="s">
        <v>275</v>
      </c>
      <c r="AB125" s="141">
        <v>1</v>
      </c>
      <c r="AC125" s="141" t="s">
        <v>8</v>
      </c>
      <c r="AD125" s="144">
        <f>AB125*'Daftar HPP'!$G$34</f>
        <v>500</v>
      </c>
      <c r="AF125" s="141">
        <v>6</v>
      </c>
      <c r="AG125" s="142" t="s">
        <v>275</v>
      </c>
      <c r="AH125" s="141">
        <v>1</v>
      </c>
      <c r="AI125" s="141" t="s">
        <v>8</v>
      </c>
      <c r="AJ125" s="144">
        <f>AH125*'Daftar HPP'!$G$34</f>
        <v>500</v>
      </c>
    </row>
    <row r="126" spans="2:36" x14ac:dyDescent="0.45">
      <c r="B126" s="141">
        <v>7</v>
      </c>
      <c r="C126" s="142" t="s">
        <v>251</v>
      </c>
      <c r="D126" s="141">
        <v>1</v>
      </c>
      <c r="E126" s="141" t="s">
        <v>28</v>
      </c>
      <c r="F126" s="144">
        <f>D126*'Daftar HPP'!$G$39</f>
        <v>1100</v>
      </c>
      <c r="H126" s="141">
        <v>7</v>
      </c>
      <c r="I126" s="142" t="s">
        <v>251</v>
      </c>
      <c r="J126" s="141">
        <v>1</v>
      </c>
      <c r="K126" s="141" t="s">
        <v>28</v>
      </c>
      <c r="L126" s="144">
        <f>J126*'Daftar HPP'!$G$39</f>
        <v>1100</v>
      </c>
      <c r="N126" s="141">
        <v>7</v>
      </c>
      <c r="O126" s="142" t="s">
        <v>251</v>
      </c>
      <c r="P126" s="141">
        <v>1</v>
      </c>
      <c r="Q126" s="141" t="s">
        <v>28</v>
      </c>
      <c r="R126" s="144">
        <f>P126*'Daftar HPP'!$G$39</f>
        <v>1100</v>
      </c>
      <c r="T126" s="141">
        <v>7</v>
      </c>
      <c r="U126" s="142" t="s">
        <v>251</v>
      </c>
      <c r="V126" s="141">
        <v>1</v>
      </c>
      <c r="W126" s="141" t="s">
        <v>28</v>
      </c>
      <c r="X126" s="144">
        <f>V126*'Daftar HPP'!$G$39</f>
        <v>1100</v>
      </c>
      <c r="Z126" s="141">
        <v>7</v>
      </c>
      <c r="AA126" s="142" t="s">
        <v>251</v>
      </c>
      <c r="AB126" s="141">
        <v>1</v>
      </c>
      <c r="AC126" s="141" t="s">
        <v>28</v>
      </c>
      <c r="AD126" s="144">
        <f>AB126*'Daftar HPP'!$G$39</f>
        <v>1100</v>
      </c>
      <c r="AF126" s="141">
        <v>7</v>
      </c>
      <c r="AG126" s="142" t="s">
        <v>251</v>
      </c>
      <c r="AH126" s="141">
        <v>1</v>
      </c>
      <c r="AI126" s="141" t="s">
        <v>28</v>
      </c>
      <c r="AJ126" s="144">
        <f>AH126*'Daftar HPP'!$G$39</f>
        <v>1100</v>
      </c>
    </row>
    <row r="127" spans="2:36" x14ac:dyDescent="0.45">
      <c r="B127" s="153"/>
      <c r="C127" s="150"/>
      <c r="D127" s="261" t="s">
        <v>53</v>
      </c>
      <c r="E127" s="261"/>
      <c r="F127" s="190">
        <f>SUM(F120:F126)</f>
        <v>13761.335190168458</v>
      </c>
      <c r="H127" s="153"/>
      <c r="I127" s="150"/>
      <c r="J127" s="261" t="s">
        <v>53</v>
      </c>
      <c r="K127" s="261"/>
      <c r="L127" s="190">
        <f>SUM(L120:L126)</f>
        <v>13660.130315022005</v>
      </c>
      <c r="N127" s="153"/>
      <c r="O127" s="150"/>
      <c r="P127" s="261" t="s">
        <v>53</v>
      </c>
      <c r="Q127" s="261"/>
      <c r="R127" s="190">
        <f>SUM(R120:R126)</f>
        <v>13314.782802292475</v>
      </c>
      <c r="T127" s="153"/>
      <c r="U127" s="150"/>
      <c r="V127" s="261" t="s">
        <v>53</v>
      </c>
      <c r="W127" s="261"/>
      <c r="X127" s="190">
        <f>SUM(X120:X126)</f>
        <v>20482.361824937201</v>
      </c>
      <c r="Z127" s="153"/>
      <c r="AA127" s="150"/>
      <c r="AB127" s="261" t="s">
        <v>53</v>
      </c>
      <c r="AC127" s="261"/>
      <c r="AD127" s="190">
        <f>SUM(AD120:AD126)</f>
        <v>20381.156949790744</v>
      </c>
      <c r="AF127" s="153"/>
      <c r="AG127" s="150"/>
      <c r="AH127" s="261" t="s">
        <v>53</v>
      </c>
      <c r="AI127" s="261"/>
      <c r="AJ127" s="190">
        <f>SUM(AJ120:AJ126)</f>
        <v>20035.809437061216</v>
      </c>
    </row>
    <row r="128" spans="2:36" x14ac:dyDescent="0.45">
      <c r="B128" s="153"/>
      <c r="C128" s="153"/>
      <c r="D128" s="256" t="s">
        <v>116</v>
      </c>
      <c r="E128" s="256"/>
      <c r="F128" s="147">
        <v>26000</v>
      </c>
      <c r="H128" s="153"/>
      <c r="I128" s="153"/>
      <c r="J128" s="256" t="s">
        <v>116</v>
      </c>
      <c r="K128" s="256"/>
      <c r="L128" s="147">
        <v>26000</v>
      </c>
      <c r="N128" s="153"/>
      <c r="O128" s="153"/>
      <c r="P128" s="256" t="s">
        <v>116</v>
      </c>
      <c r="Q128" s="256"/>
      <c r="R128" s="147">
        <v>26000</v>
      </c>
      <c r="T128" s="153"/>
      <c r="U128" s="153"/>
      <c r="V128" s="256" t="s">
        <v>116</v>
      </c>
      <c r="W128" s="256"/>
      <c r="X128" s="147">
        <v>38000</v>
      </c>
      <c r="Z128" s="153"/>
      <c r="AA128" s="153"/>
      <c r="AB128" s="256" t="s">
        <v>116</v>
      </c>
      <c r="AC128" s="256"/>
      <c r="AD128" s="147">
        <v>38000</v>
      </c>
      <c r="AF128" s="153"/>
      <c r="AG128" s="153"/>
      <c r="AH128" s="256" t="s">
        <v>116</v>
      </c>
      <c r="AI128" s="256"/>
      <c r="AJ128" s="147">
        <v>38000</v>
      </c>
    </row>
    <row r="129" spans="2:36" x14ac:dyDescent="0.45">
      <c r="B129" s="153"/>
      <c r="C129" s="153"/>
      <c r="D129" s="256" t="s">
        <v>119</v>
      </c>
      <c r="E129" s="256"/>
      <c r="F129" s="148">
        <f>F128-F127</f>
        <v>12238.664809831542</v>
      </c>
      <c r="H129" s="153"/>
      <c r="I129" s="153"/>
      <c r="J129" s="256" t="s">
        <v>119</v>
      </c>
      <c r="K129" s="256"/>
      <c r="L129" s="148">
        <f>L128-L127</f>
        <v>12339.869684977995</v>
      </c>
      <c r="N129" s="153"/>
      <c r="O129" s="153"/>
      <c r="P129" s="256" t="s">
        <v>119</v>
      </c>
      <c r="Q129" s="256"/>
      <c r="R129" s="148">
        <f>R128-R127</f>
        <v>12685.217197707525</v>
      </c>
      <c r="T129" s="153"/>
      <c r="U129" s="153"/>
      <c r="V129" s="256" t="s">
        <v>119</v>
      </c>
      <c r="W129" s="256"/>
      <c r="X129" s="148">
        <f>X128-X127</f>
        <v>17517.638175062799</v>
      </c>
      <c r="Z129" s="153"/>
      <c r="AA129" s="153"/>
      <c r="AB129" s="256" t="s">
        <v>119</v>
      </c>
      <c r="AC129" s="256"/>
      <c r="AD129" s="148">
        <f>AD128-AD127</f>
        <v>17618.843050209256</v>
      </c>
      <c r="AF129" s="153"/>
      <c r="AG129" s="153"/>
      <c r="AH129" s="256" t="s">
        <v>119</v>
      </c>
      <c r="AI129" s="256"/>
      <c r="AJ129" s="148">
        <f>AJ128-AJ127</f>
        <v>17964.190562938784</v>
      </c>
    </row>
    <row r="130" spans="2:36" x14ac:dyDescent="0.45">
      <c r="Z130" s="153"/>
      <c r="AA130" s="153"/>
      <c r="AB130" s="206"/>
      <c r="AC130" s="206"/>
      <c r="AD130" s="157"/>
    </row>
    <row r="131" spans="2:36" ht="14.65" thickBot="1" x14ac:dyDescent="0.5">
      <c r="B131" s="2" t="s">
        <v>257</v>
      </c>
      <c r="H131" s="2" t="s">
        <v>261</v>
      </c>
      <c r="T131" s="2" t="s">
        <v>257</v>
      </c>
      <c r="Z131" s="2" t="s">
        <v>261</v>
      </c>
    </row>
    <row r="132" spans="2:36" x14ac:dyDescent="0.45">
      <c r="B132" s="119" t="s">
        <v>0</v>
      </c>
      <c r="C132" s="119" t="s">
        <v>49</v>
      </c>
      <c r="D132" s="119" t="s">
        <v>34</v>
      </c>
      <c r="E132" s="119" t="s">
        <v>50</v>
      </c>
      <c r="F132" s="119" t="s">
        <v>36</v>
      </c>
      <c r="H132" s="119" t="s">
        <v>0</v>
      </c>
      <c r="I132" s="119" t="s">
        <v>49</v>
      </c>
      <c r="J132" s="119" t="s">
        <v>34</v>
      </c>
      <c r="K132" s="119" t="s">
        <v>50</v>
      </c>
      <c r="L132" s="119" t="s">
        <v>36</v>
      </c>
      <c r="T132" s="119" t="s">
        <v>0</v>
      </c>
      <c r="U132" s="119" t="s">
        <v>49</v>
      </c>
      <c r="V132" s="119" t="s">
        <v>34</v>
      </c>
      <c r="W132" s="119" t="s">
        <v>50</v>
      </c>
      <c r="X132" s="119" t="s">
        <v>36</v>
      </c>
      <c r="Z132" s="119" t="s">
        <v>0</v>
      </c>
      <c r="AA132" s="119" t="s">
        <v>49</v>
      </c>
      <c r="AB132" s="119" t="s">
        <v>34</v>
      </c>
      <c r="AC132" s="119" t="s">
        <v>50</v>
      </c>
      <c r="AD132" s="119" t="s">
        <v>36</v>
      </c>
    </row>
    <row r="133" spans="2:36" x14ac:dyDescent="0.45">
      <c r="B133" s="141">
        <v>1</v>
      </c>
      <c r="C133" s="142" t="s">
        <v>112</v>
      </c>
      <c r="D133" s="141">
        <v>1</v>
      </c>
      <c r="E133" s="141" t="s">
        <v>6</v>
      </c>
      <c r="F133" s="143">
        <f>D133*'Daftar HPP'!$L$57</f>
        <v>4875.7315789473687</v>
      </c>
      <c r="H133" s="141">
        <v>1</v>
      </c>
      <c r="I133" s="142" t="s">
        <v>112</v>
      </c>
      <c r="J133" s="141">
        <v>1</v>
      </c>
      <c r="K133" s="141" t="s">
        <v>6</v>
      </c>
      <c r="L133" s="143">
        <f>J133*'Daftar HPP'!$L$57</f>
        <v>4875.7315789473687</v>
      </c>
      <c r="T133" s="141">
        <v>1</v>
      </c>
      <c r="U133" s="142" t="s">
        <v>112</v>
      </c>
      <c r="V133" s="141">
        <v>2</v>
      </c>
      <c r="W133" s="141" t="s">
        <v>6</v>
      </c>
      <c r="X133" s="143">
        <f>V133*'Daftar HPP'!$L$57</f>
        <v>9751.4631578947374</v>
      </c>
      <c r="Z133" s="141">
        <v>1</v>
      </c>
      <c r="AA133" s="142" t="s">
        <v>112</v>
      </c>
      <c r="AB133" s="141">
        <v>2</v>
      </c>
      <c r="AC133" s="141" t="s">
        <v>6</v>
      </c>
      <c r="AD133" s="143">
        <f>AB133*'Daftar HPP'!$L$57</f>
        <v>9751.4631578947374</v>
      </c>
    </row>
    <row r="134" spans="2:36" x14ac:dyDescent="0.45">
      <c r="B134" s="141">
        <v>2</v>
      </c>
      <c r="C134" s="142" t="s">
        <v>18</v>
      </c>
      <c r="D134" s="141">
        <v>40</v>
      </c>
      <c r="E134" s="141" t="s">
        <v>8</v>
      </c>
      <c r="F134" s="143">
        <f>D134*'Daftar HPP'!$F$123</f>
        <v>1845.2950558213715</v>
      </c>
      <c r="H134" s="141">
        <v>2</v>
      </c>
      <c r="I134" s="142" t="s">
        <v>18</v>
      </c>
      <c r="J134" s="141">
        <v>40</v>
      </c>
      <c r="K134" s="141" t="s">
        <v>8</v>
      </c>
      <c r="L134" s="143">
        <f>J134*'Daftar HPP'!$F$123</f>
        <v>1845.2950558213715</v>
      </c>
      <c r="T134" s="141">
        <v>2</v>
      </c>
      <c r="U134" s="142" t="s">
        <v>18</v>
      </c>
      <c r="V134" s="141">
        <v>80</v>
      </c>
      <c r="W134" s="141" t="s">
        <v>8</v>
      </c>
      <c r="X134" s="143">
        <f>V134*'Daftar HPP'!$F$123</f>
        <v>3690.5901116427431</v>
      </c>
      <c r="Z134" s="141">
        <v>2</v>
      </c>
      <c r="AA134" s="142" t="s">
        <v>18</v>
      </c>
      <c r="AB134" s="141">
        <v>80</v>
      </c>
      <c r="AC134" s="141" t="s">
        <v>8</v>
      </c>
      <c r="AD134" s="143">
        <f>AB134*'Daftar HPP'!$F$123</f>
        <v>3690.5901116427431</v>
      </c>
    </row>
    <row r="135" spans="2:36" x14ac:dyDescent="0.45">
      <c r="B135" s="141">
        <v>3</v>
      </c>
      <c r="C135" s="142" t="s">
        <v>271</v>
      </c>
      <c r="D135" s="141">
        <v>1</v>
      </c>
      <c r="E135" s="141" t="s">
        <v>118</v>
      </c>
      <c r="F135" s="143">
        <f>D135*'Daftar HPP'!$G$13</f>
        <v>1200</v>
      </c>
      <c r="H135" s="141">
        <v>3</v>
      </c>
      <c r="I135" s="142" t="s">
        <v>271</v>
      </c>
      <c r="J135" s="141">
        <v>1</v>
      </c>
      <c r="K135" s="141" t="s">
        <v>118</v>
      </c>
      <c r="L135" s="143">
        <f>J135*'Daftar HPP'!$G$13</f>
        <v>1200</v>
      </c>
      <c r="T135" s="141">
        <v>3</v>
      </c>
      <c r="U135" s="142" t="s">
        <v>271</v>
      </c>
      <c r="V135" s="141">
        <v>1</v>
      </c>
      <c r="W135" s="141" t="s">
        <v>118</v>
      </c>
      <c r="X135" s="143">
        <f>V135*'Daftar HPP'!$G$13</f>
        <v>1200</v>
      </c>
      <c r="Z135" s="141">
        <v>3</v>
      </c>
      <c r="AA135" s="142" t="s">
        <v>271</v>
      </c>
      <c r="AB135" s="141">
        <v>1</v>
      </c>
      <c r="AC135" s="141" t="s">
        <v>118</v>
      </c>
      <c r="AD135" s="143">
        <f>AB135*'Daftar HPP'!$G$13</f>
        <v>1200</v>
      </c>
    </row>
    <row r="136" spans="2:36" x14ac:dyDescent="0.45">
      <c r="B136" s="141">
        <v>4</v>
      </c>
      <c r="C136" s="142" t="s">
        <v>17</v>
      </c>
      <c r="D136" s="141">
        <v>30</v>
      </c>
      <c r="E136" s="141" t="s">
        <v>8</v>
      </c>
      <c r="F136" s="144">
        <f>D136*'Daftar HPP'!$F$152</f>
        <v>2093.9588100686497</v>
      </c>
      <c r="H136" s="141">
        <v>4</v>
      </c>
      <c r="I136" s="142" t="s">
        <v>25</v>
      </c>
      <c r="J136" s="141">
        <v>30</v>
      </c>
      <c r="K136" s="141" t="s">
        <v>8</v>
      </c>
      <c r="L136" s="144">
        <f>J136*'Daftar HPP'!$G$22</f>
        <v>1995</v>
      </c>
      <c r="T136" s="141">
        <v>4</v>
      </c>
      <c r="U136" s="142" t="s">
        <v>17</v>
      </c>
      <c r="V136" s="141">
        <v>30</v>
      </c>
      <c r="W136" s="141" t="s">
        <v>8</v>
      </c>
      <c r="X136" s="144">
        <f>V136*'Daftar HPP'!$F$152</f>
        <v>2093.9588100686497</v>
      </c>
      <c r="Z136" s="141">
        <v>4</v>
      </c>
      <c r="AA136" s="142" t="s">
        <v>25</v>
      </c>
      <c r="AB136" s="141">
        <v>30</v>
      </c>
      <c r="AC136" s="141" t="s">
        <v>8</v>
      </c>
      <c r="AD136" s="144">
        <f>AB136*'Daftar HPP'!$G$22</f>
        <v>1995</v>
      </c>
    </row>
    <row r="137" spans="2:36" x14ac:dyDescent="0.45">
      <c r="B137" s="141">
        <v>5</v>
      </c>
      <c r="C137" s="142" t="s">
        <v>107</v>
      </c>
      <c r="D137" s="141">
        <v>30</v>
      </c>
      <c r="E137" s="141" t="s">
        <v>8</v>
      </c>
      <c r="F137" s="144">
        <f>D137*'Daftar HPP'!$L$152</f>
        <v>2144.1036802532649</v>
      </c>
      <c r="H137" s="141">
        <v>5</v>
      </c>
      <c r="I137" s="142" t="s">
        <v>26</v>
      </c>
      <c r="J137" s="141">
        <v>30</v>
      </c>
      <c r="K137" s="141" t="s">
        <v>8</v>
      </c>
      <c r="L137" s="144">
        <f>J137*'Daftar HPP'!$L$143</f>
        <v>1647.4064221926658</v>
      </c>
      <c r="T137" s="141">
        <v>5</v>
      </c>
      <c r="U137" s="142" t="s">
        <v>107</v>
      </c>
      <c r="V137" s="141">
        <v>30</v>
      </c>
      <c r="W137" s="141" t="s">
        <v>8</v>
      </c>
      <c r="X137" s="144">
        <f>V137*'Daftar HPP'!$L$152</f>
        <v>2144.1036802532649</v>
      </c>
      <c r="Z137" s="141">
        <v>5</v>
      </c>
      <c r="AA137" s="142" t="s">
        <v>26</v>
      </c>
      <c r="AB137" s="141">
        <v>30</v>
      </c>
      <c r="AC137" s="141" t="s">
        <v>8</v>
      </c>
      <c r="AD137" s="144">
        <f>AB137*'Daftar HPP'!$L$143</f>
        <v>1647.4064221926658</v>
      </c>
    </row>
    <row r="138" spans="2:36" x14ac:dyDescent="0.45">
      <c r="B138" s="141">
        <v>6</v>
      </c>
      <c r="C138" s="142" t="s">
        <v>275</v>
      </c>
      <c r="D138" s="141">
        <v>1</v>
      </c>
      <c r="E138" s="141" t="s">
        <v>8</v>
      </c>
      <c r="F138" s="144">
        <f>D138*'Daftar HPP'!$G$34</f>
        <v>500</v>
      </c>
      <c r="H138" s="141">
        <v>6</v>
      </c>
      <c r="I138" s="142" t="s">
        <v>275</v>
      </c>
      <c r="J138" s="141">
        <v>1</v>
      </c>
      <c r="K138" s="141" t="s">
        <v>8</v>
      </c>
      <c r="L138" s="144">
        <f>J138*'Daftar HPP'!$G$34</f>
        <v>500</v>
      </c>
      <c r="T138" s="141">
        <v>6</v>
      </c>
      <c r="U138" s="142" t="s">
        <v>275</v>
      </c>
      <c r="V138" s="141">
        <v>1</v>
      </c>
      <c r="W138" s="141" t="s">
        <v>8</v>
      </c>
      <c r="X138" s="144">
        <f>V138*'Daftar HPP'!$G$34</f>
        <v>500</v>
      </c>
      <c r="Z138" s="141">
        <v>6</v>
      </c>
      <c r="AA138" s="142" t="s">
        <v>275</v>
      </c>
      <c r="AB138" s="141">
        <v>1</v>
      </c>
      <c r="AC138" s="141" t="s">
        <v>8</v>
      </c>
      <c r="AD138" s="144">
        <f>AB138*'Daftar HPP'!$G$34</f>
        <v>500</v>
      </c>
    </row>
    <row r="139" spans="2:36" x14ac:dyDescent="0.45">
      <c r="B139" s="141">
        <v>7</v>
      </c>
      <c r="C139" s="142" t="s">
        <v>251</v>
      </c>
      <c r="D139" s="141">
        <v>1</v>
      </c>
      <c r="E139" s="141" t="s">
        <v>28</v>
      </c>
      <c r="F139" s="144">
        <f>D139*'Daftar HPP'!$G$39</f>
        <v>1100</v>
      </c>
      <c r="H139" s="141">
        <v>7</v>
      </c>
      <c r="I139" s="142" t="s">
        <v>251</v>
      </c>
      <c r="J139" s="141">
        <v>1</v>
      </c>
      <c r="K139" s="141" t="s">
        <v>28</v>
      </c>
      <c r="L139" s="144">
        <f>J139*'Daftar HPP'!$G$39</f>
        <v>1100</v>
      </c>
      <c r="T139" s="141">
        <v>7</v>
      </c>
      <c r="U139" s="142" t="s">
        <v>251</v>
      </c>
      <c r="V139" s="141">
        <v>1</v>
      </c>
      <c r="W139" s="141" t="s">
        <v>28</v>
      </c>
      <c r="X139" s="144">
        <f>V139*'Daftar HPP'!$G$39</f>
        <v>1100</v>
      </c>
      <c r="Z139" s="141">
        <v>7</v>
      </c>
      <c r="AA139" s="142" t="s">
        <v>251</v>
      </c>
      <c r="AB139" s="141">
        <v>1</v>
      </c>
      <c r="AC139" s="141" t="s">
        <v>28</v>
      </c>
      <c r="AD139" s="144">
        <f>AB139*'Daftar HPP'!$G$39</f>
        <v>1100</v>
      </c>
    </row>
    <row r="140" spans="2:36" x14ac:dyDescent="0.45">
      <c r="B140" s="153"/>
      <c r="C140" s="150"/>
      <c r="D140" s="261" t="s">
        <v>53</v>
      </c>
      <c r="E140" s="261"/>
      <c r="F140" s="190">
        <f>SUM(F133:F139)</f>
        <v>13759.089125090655</v>
      </c>
      <c r="H140" s="153"/>
      <c r="I140" s="150"/>
      <c r="J140" s="257" t="s">
        <v>53</v>
      </c>
      <c r="K140" s="258"/>
      <c r="L140" s="190">
        <f>SUM(L133:L139)</f>
        <v>13163.433056961405</v>
      </c>
      <c r="T140" s="153"/>
      <c r="U140" s="150"/>
      <c r="V140" s="261" t="s">
        <v>53</v>
      </c>
      <c r="W140" s="261"/>
      <c r="X140" s="190">
        <f>SUM(X133:X139)</f>
        <v>20480.115759859396</v>
      </c>
      <c r="Z140" s="153"/>
      <c r="AA140" s="150"/>
      <c r="AB140" s="257" t="s">
        <v>53</v>
      </c>
      <c r="AC140" s="258"/>
      <c r="AD140" s="190">
        <f>SUM(AD133:AD139)</f>
        <v>19884.459691730146</v>
      </c>
    </row>
    <row r="141" spans="2:36" x14ac:dyDescent="0.45">
      <c r="B141" s="153"/>
      <c r="C141" s="153"/>
      <c r="D141" s="256" t="s">
        <v>116</v>
      </c>
      <c r="E141" s="256"/>
      <c r="F141" s="147">
        <v>26000</v>
      </c>
      <c r="H141" s="153"/>
      <c r="I141" s="153"/>
      <c r="J141" s="251" t="s">
        <v>116</v>
      </c>
      <c r="K141" s="252"/>
      <c r="L141" s="147">
        <v>26000</v>
      </c>
      <c r="T141" s="153"/>
      <c r="U141" s="153"/>
      <c r="V141" s="256" t="s">
        <v>116</v>
      </c>
      <c r="W141" s="256"/>
      <c r="X141" s="147">
        <v>38000</v>
      </c>
      <c r="Z141" s="153"/>
      <c r="AA141" s="153"/>
      <c r="AB141" s="251" t="s">
        <v>116</v>
      </c>
      <c r="AC141" s="252"/>
      <c r="AD141" s="147">
        <v>38000</v>
      </c>
    </row>
    <row r="142" spans="2:36" x14ac:dyDescent="0.45">
      <c r="B142" s="153"/>
      <c r="C142" s="153"/>
      <c r="D142" s="256" t="s">
        <v>119</v>
      </c>
      <c r="E142" s="256"/>
      <c r="F142" s="148">
        <f>F141-F140</f>
        <v>12240.910874909345</v>
      </c>
      <c r="H142" s="153"/>
      <c r="I142" s="153"/>
      <c r="J142" s="256" t="s">
        <v>119</v>
      </c>
      <c r="K142" s="256"/>
      <c r="L142" s="148">
        <f>L141-L140</f>
        <v>12836.566943038595</v>
      </c>
      <c r="T142" s="153"/>
      <c r="U142" s="153"/>
      <c r="V142" s="256" t="s">
        <v>119</v>
      </c>
      <c r="W142" s="256"/>
      <c r="X142" s="148">
        <f>X141-X140</f>
        <v>17519.884240140604</v>
      </c>
      <c r="Z142" s="153"/>
      <c r="AA142" s="153"/>
      <c r="AB142" s="256" t="s">
        <v>119</v>
      </c>
      <c r="AC142" s="256"/>
      <c r="AD142" s="148">
        <f>AD141-AD140</f>
        <v>18115.540308269854</v>
      </c>
    </row>
    <row r="143" spans="2:36" x14ac:dyDescent="0.45">
      <c r="B143" s="153"/>
      <c r="C143" s="153"/>
      <c r="D143" s="206"/>
      <c r="E143" s="206"/>
      <c r="F143" s="157"/>
      <c r="N143" s="153"/>
      <c r="O143" s="153"/>
      <c r="P143" s="206"/>
      <c r="Q143" s="206"/>
      <c r="R143" s="157"/>
      <c r="T143" s="153"/>
      <c r="U143" s="153"/>
      <c r="V143" s="206"/>
      <c r="W143" s="206"/>
      <c r="X143" s="157"/>
      <c r="AF143" s="153"/>
      <c r="AG143" s="153"/>
      <c r="AH143" s="206"/>
      <c r="AI143" s="206"/>
      <c r="AJ143" s="157"/>
    </row>
    <row r="144" spans="2:36" ht="14.65" thickBot="1" x14ac:dyDescent="0.5">
      <c r="B144" s="2" t="s">
        <v>258</v>
      </c>
      <c r="H144" s="2" t="s">
        <v>262</v>
      </c>
      <c r="N144" s="153"/>
      <c r="O144" s="153"/>
      <c r="P144" s="206"/>
      <c r="Q144" s="206"/>
      <c r="R144" s="157"/>
      <c r="T144" s="2" t="s">
        <v>258</v>
      </c>
      <c r="Z144" s="2" t="s">
        <v>262</v>
      </c>
      <c r="AF144" s="153"/>
      <c r="AG144" s="153"/>
      <c r="AH144" s="206"/>
      <c r="AI144" s="206"/>
      <c r="AJ144" s="157"/>
    </row>
    <row r="145" spans="2:36" x14ac:dyDescent="0.45">
      <c r="B145" s="119" t="s">
        <v>0</v>
      </c>
      <c r="C145" s="119" t="s">
        <v>49</v>
      </c>
      <c r="D145" s="119" t="s">
        <v>34</v>
      </c>
      <c r="E145" s="119" t="s">
        <v>50</v>
      </c>
      <c r="F145" s="119" t="s">
        <v>36</v>
      </c>
      <c r="H145" s="119" t="s">
        <v>0</v>
      </c>
      <c r="I145" s="119" t="s">
        <v>49</v>
      </c>
      <c r="J145" s="119" t="s">
        <v>34</v>
      </c>
      <c r="K145" s="119" t="s">
        <v>50</v>
      </c>
      <c r="L145" s="119" t="s">
        <v>36</v>
      </c>
      <c r="N145" s="153"/>
      <c r="O145" s="153"/>
      <c r="P145" s="206"/>
      <c r="Q145" s="206"/>
      <c r="R145" s="157"/>
      <c r="T145" s="119" t="s">
        <v>0</v>
      </c>
      <c r="U145" s="119" t="s">
        <v>49</v>
      </c>
      <c r="V145" s="119" t="s">
        <v>34</v>
      </c>
      <c r="W145" s="119" t="s">
        <v>50</v>
      </c>
      <c r="X145" s="119" t="s">
        <v>36</v>
      </c>
      <c r="Z145" s="119" t="s">
        <v>0</v>
      </c>
      <c r="AA145" s="119" t="s">
        <v>49</v>
      </c>
      <c r="AB145" s="119" t="s">
        <v>34</v>
      </c>
      <c r="AC145" s="119" t="s">
        <v>50</v>
      </c>
      <c r="AD145" s="119" t="s">
        <v>36</v>
      </c>
      <c r="AF145" s="153"/>
      <c r="AG145" s="153"/>
      <c r="AH145" s="206"/>
      <c r="AI145" s="206"/>
      <c r="AJ145" s="157"/>
    </row>
    <row r="146" spans="2:36" x14ac:dyDescent="0.45">
      <c r="B146" s="141">
        <v>1</v>
      </c>
      <c r="C146" s="142" t="s">
        <v>112</v>
      </c>
      <c r="D146" s="141">
        <v>1</v>
      </c>
      <c r="E146" s="141" t="s">
        <v>6</v>
      </c>
      <c r="F146" s="143">
        <f>D146*'Daftar HPP'!$L$57</f>
        <v>4875.7315789473687</v>
      </c>
      <c r="H146" s="141">
        <v>1</v>
      </c>
      <c r="I146" s="142" t="s">
        <v>112</v>
      </c>
      <c r="J146" s="141">
        <v>1</v>
      </c>
      <c r="K146" s="141" t="s">
        <v>6</v>
      </c>
      <c r="L146" s="143">
        <f>J146*'Daftar HPP'!$L$57</f>
        <v>4875.7315789473687</v>
      </c>
      <c r="N146" s="153"/>
      <c r="O146" s="153"/>
      <c r="P146" s="206"/>
      <c r="Q146" s="206"/>
      <c r="R146" s="157"/>
      <c r="T146" s="141">
        <v>1</v>
      </c>
      <c r="U146" s="142" t="s">
        <v>112</v>
      </c>
      <c r="V146" s="141">
        <v>2</v>
      </c>
      <c r="W146" s="141" t="s">
        <v>6</v>
      </c>
      <c r="X146" s="143">
        <f>V146*'Daftar HPP'!$L$57</f>
        <v>9751.4631578947374</v>
      </c>
      <c r="Z146" s="141">
        <v>1</v>
      </c>
      <c r="AA146" s="142" t="s">
        <v>112</v>
      </c>
      <c r="AB146" s="141">
        <v>2</v>
      </c>
      <c r="AC146" s="141" t="s">
        <v>6</v>
      </c>
      <c r="AD146" s="143">
        <f>AB146*'Daftar HPP'!$L$57</f>
        <v>9751.4631578947374</v>
      </c>
      <c r="AF146" s="153"/>
      <c r="AG146" s="153"/>
      <c r="AH146" s="206"/>
      <c r="AI146" s="206"/>
      <c r="AJ146" s="157"/>
    </row>
    <row r="147" spans="2:36" x14ac:dyDescent="0.45">
      <c r="B147" s="141">
        <v>2</v>
      </c>
      <c r="C147" s="142" t="s">
        <v>18</v>
      </c>
      <c r="D147" s="141">
        <v>40</v>
      </c>
      <c r="E147" s="141" t="s">
        <v>8</v>
      </c>
      <c r="F147" s="143">
        <f>D147*'Daftar HPP'!$F$123</f>
        <v>1845.2950558213715</v>
      </c>
      <c r="H147" s="141">
        <v>2</v>
      </c>
      <c r="I147" s="142" t="s">
        <v>18</v>
      </c>
      <c r="J147" s="141">
        <v>40</v>
      </c>
      <c r="K147" s="141" t="s">
        <v>8</v>
      </c>
      <c r="L147" s="143">
        <f>J147*'Daftar HPP'!$F$123</f>
        <v>1845.2950558213715</v>
      </c>
      <c r="N147" s="153"/>
      <c r="O147" s="153"/>
      <c r="P147" s="206"/>
      <c r="Q147" s="206"/>
      <c r="R147" s="157"/>
      <c r="T147" s="141">
        <v>2</v>
      </c>
      <c r="U147" s="142" t="s">
        <v>18</v>
      </c>
      <c r="V147" s="141">
        <v>80</v>
      </c>
      <c r="W147" s="141" t="s">
        <v>8</v>
      </c>
      <c r="X147" s="143">
        <f>V147*'Daftar HPP'!$F$123</f>
        <v>3690.5901116427431</v>
      </c>
      <c r="Z147" s="141">
        <v>2</v>
      </c>
      <c r="AA147" s="142" t="s">
        <v>18</v>
      </c>
      <c r="AB147" s="141">
        <v>80</v>
      </c>
      <c r="AC147" s="141" t="s">
        <v>8</v>
      </c>
      <c r="AD147" s="143">
        <f>AB147*'Daftar HPP'!$F$123</f>
        <v>3690.5901116427431</v>
      </c>
      <c r="AF147" s="153"/>
      <c r="AG147" s="153"/>
      <c r="AH147" s="206"/>
      <c r="AI147" s="206"/>
      <c r="AJ147" s="157"/>
    </row>
    <row r="148" spans="2:36" x14ac:dyDescent="0.45">
      <c r="B148" s="141">
        <v>3</v>
      </c>
      <c r="C148" s="142" t="s">
        <v>271</v>
      </c>
      <c r="D148" s="141">
        <v>1</v>
      </c>
      <c r="E148" s="141" t="s">
        <v>118</v>
      </c>
      <c r="F148" s="143">
        <f>D148*'Daftar HPP'!$G$13</f>
        <v>1200</v>
      </c>
      <c r="H148" s="141">
        <v>3</v>
      </c>
      <c r="I148" s="142" t="s">
        <v>271</v>
      </c>
      <c r="J148" s="141">
        <v>1</v>
      </c>
      <c r="K148" s="141" t="s">
        <v>118</v>
      </c>
      <c r="L148" s="143">
        <f>J148*'Daftar HPP'!$G$13</f>
        <v>1200</v>
      </c>
      <c r="N148" s="153"/>
      <c r="O148" s="153"/>
      <c r="P148" s="206"/>
      <c r="Q148" s="206"/>
      <c r="R148" s="157"/>
      <c r="T148" s="141">
        <v>3</v>
      </c>
      <c r="U148" s="142" t="s">
        <v>271</v>
      </c>
      <c r="V148" s="141">
        <v>1</v>
      </c>
      <c r="W148" s="141" t="s">
        <v>118</v>
      </c>
      <c r="X148" s="143">
        <f>V148*'Daftar HPP'!$G$13</f>
        <v>1200</v>
      </c>
      <c r="Z148" s="141">
        <v>3</v>
      </c>
      <c r="AA148" s="142" t="s">
        <v>271</v>
      </c>
      <c r="AB148" s="141">
        <v>1</v>
      </c>
      <c r="AC148" s="141" t="s">
        <v>118</v>
      </c>
      <c r="AD148" s="143">
        <f>AB148*'Daftar HPP'!$G$13</f>
        <v>1200</v>
      </c>
      <c r="AF148" s="153"/>
      <c r="AG148" s="153"/>
      <c r="AH148" s="206"/>
      <c r="AI148" s="206"/>
      <c r="AJ148" s="157"/>
    </row>
    <row r="149" spans="2:36" x14ac:dyDescent="0.45">
      <c r="B149" s="141">
        <v>4</v>
      </c>
      <c r="C149" s="142" t="s">
        <v>17</v>
      </c>
      <c r="D149" s="141">
        <v>30</v>
      </c>
      <c r="E149" s="141" t="s">
        <v>8</v>
      </c>
      <c r="F149" s="144">
        <f>D149*'Daftar HPP'!$F$152</f>
        <v>2093.9588100686497</v>
      </c>
      <c r="H149" s="141">
        <v>4</v>
      </c>
      <c r="I149" s="142" t="s">
        <v>107</v>
      </c>
      <c r="J149" s="141">
        <v>30</v>
      </c>
      <c r="K149" s="141" t="s">
        <v>8</v>
      </c>
      <c r="L149" s="144">
        <f>J149*'Daftar HPP'!$L$152</f>
        <v>2144.1036802532649</v>
      </c>
      <c r="N149" s="153"/>
      <c r="O149" s="153"/>
      <c r="P149" s="206"/>
      <c r="Q149" s="206"/>
      <c r="R149" s="157"/>
      <c r="T149" s="141">
        <v>4</v>
      </c>
      <c r="U149" s="142" t="s">
        <v>17</v>
      </c>
      <c r="V149" s="141">
        <v>30</v>
      </c>
      <c r="W149" s="141" t="s">
        <v>8</v>
      </c>
      <c r="X149" s="144">
        <f>V149*'Daftar HPP'!$F$152</f>
        <v>2093.9588100686497</v>
      </c>
      <c r="Z149" s="141">
        <v>4</v>
      </c>
      <c r="AA149" s="142" t="s">
        <v>107</v>
      </c>
      <c r="AB149" s="141">
        <v>30</v>
      </c>
      <c r="AC149" s="141" t="s">
        <v>8</v>
      </c>
      <c r="AD149" s="144">
        <f>AB149*'Daftar HPP'!$L$152</f>
        <v>2144.1036802532649</v>
      </c>
      <c r="AF149" s="153"/>
      <c r="AG149" s="153"/>
      <c r="AH149" s="206"/>
      <c r="AI149" s="206"/>
      <c r="AJ149" s="157"/>
    </row>
    <row r="150" spans="2:36" x14ac:dyDescent="0.45">
      <c r="B150" s="141">
        <v>5</v>
      </c>
      <c r="C150" s="142" t="s">
        <v>26</v>
      </c>
      <c r="D150" s="141">
        <v>30</v>
      </c>
      <c r="E150" s="141" t="s">
        <v>8</v>
      </c>
      <c r="F150" s="144">
        <f>D150*'Daftar HPP'!$L$143</f>
        <v>1647.4064221926658</v>
      </c>
      <c r="H150" s="141">
        <v>5</v>
      </c>
      <c r="I150" s="142" t="s">
        <v>105</v>
      </c>
      <c r="J150" s="141">
        <v>30</v>
      </c>
      <c r="K150" s="141" t="s">
        <v>8</v>
      </c>
      <c r="L150" s="144">
        <f>J150*'Daftar HPP'!$F$143</f>
        <v>2146.3497453310692</v>
      </c>
      <c r="N150" s="153"/>
      <c r="O150" s="153"/>
      <c r="P150" s="206"/>
      <c r="Q150" s="206"/>
      <c r="R150" s="157"/>
      <c r="T150" s="141">
        <v>5</v>
      </c>
      <c r="U150" s="142" t="s">
        <v>26</v>
      </c>
      <c r="V150" s="141">
        <v>30</v>
      </c>
      <c r="W150" s="141" t="s">
        <v>8</v>
      </c>
      <c r="X150" s="144">
        <f>V150*'Daftar HPP'!$L$143</f>
        <v>1647.4064221926658</v>
      </c>
      <c r="Z150" s="141">
        <v>5</v>
      </c>
      <c r="AA150" s="142" t="s">
        <v>105</v>
      </c>
      <c r="AB150" s="141">
        <v>30</v>
      </c>
      <c r="AC150" s="141" t="s">
        <v>8</v>
      </c>
      <c r="AD150" s="144">
        <f>AB150*'Daftar HPP'!$F$143</f>
        <v>2146.3497453310692</v>
      </c>
      <c r="AF150" s="153"/>
      <c r="AG150" s="153"/>
      <c r="AH150" s="206"/>
      <c r="AI150" s="206"/>
      <c r="AJ150" s="157"/>
    </row>
    <row r="151" spans="2:36" x14ac:dyDescent="0.45">
      <c r="B151" s="141">
        <v>6</v>
      </c>
      <c r="C151" s="142" t="s">
        <v>275</v>
      </c>
      <c r="D151" s="141">
        <v>1</v>
      </c>
      <c r="E151" s="141" t="s">
        <v>8</v>
      </c>
      <c r="F151" s="144">
        <f>D151*'Daftar HPP'!$G$34</f>
        <v>500</v>
      </c>
      <c r="H151" s="141">
        <v>6</v>
      </c>
      <c r="I151" s="142" t="s">
        <v>275</v>
      </c>
      <c r="J151" s="141">
        <v>1</v>
      </c>
      <c r="K151" s="141" t="s">
        <v>8</v>
      </c>
      <c r="L151" s="144">
        <f>J151*'Daftar HPP'!$G$34</f>
        <v>500</v>
      </c>
      <c r="N151" s="153"/>
      <c r="O151" s="153"/>
      <c r="P151" s="206"/>
      <c r="Q151" s="206"/>
      <c r="R151" s="157"/>
      <c r="T151" s="141">
        <v>6</v>
      </c>
      <c r="U151" s="142" t="s">
        <v>275</v>
      </c>
      <c r="V151" s="141">
        <v>1</v>
      </c>
      <c r="W151" s="141" t="s">
        <v>8</v>
      </c>
      <c r="X151" s="144">
        <f>V151*'Daftar HPP'!$G$34</f>
        <v>500</v>
      </c>
      <c r="Z151" s="141">
        <v>6</v>
      </c>
      <c r="AA151" s="142" t="s">
        <v>275</v>
      </c>
      <c r="AB151" s="141">
        <v>1</v>
      </c>
      <c r="AC151" s="141" t="s">
        <v>8</v>
      </c>
      <c r="AD151" s="144">
        <f>AB151*'Daftar HPP'!$G$34</f>
        <v>500</v>
      </c>
      <c r="AF151" s="153"/>
      <c r="AG151" s="153"/>
      <c r="AH151" s="206"/>
      <c r="AI151" s="206"/>
      <c r="AJ151" s="157"/>
    </row>
    <row r="152" spans="2:36" x14ac:dyDescent="0.45">
      <c r="B152" s="141">
        <v>7</v>
      </c>
      <c r="C152" s="142" t="s">
        <v>251</v>
      </c>
      <c r="D152" s="141">
        <v>1</v>
      </c>
      <c r="E152" s="141" t="s">
        <v>28</v>
      </c>
      <c r="F152" s="144">
        <f>D152*'Daftar HPP'!$G$39</f>
        <v>1100</v>
      </c>
      <c r="H152" s="141">
        <v>7</v>
      </c>
      <c r="I152" s="142" t="s">
        <v>251</v>
      </c>
      <c r="J152" s="141">
        <v>1</v>
      </c>
      <c r="K152" s="141" t="s">
        <v>28</v>
      </c>
      <c r="L152" s="144">
        <f>J152*'Daftar HPP'!$G$39</f>
        <v>1100</v>
      </c>
      <c r="N152" s="153"/>
      <c r="O152" s="153"/>
      <c r="P152" s="206"/>
      <c r="Q152" s="206"/>
      <c r="R152" s="157"/>
      <c r="T152" s="141">
        <v>7</v>
      </c>
      <c r="U152" s="142" t="s">
        <v>251</v>
      </c>
      <c r="V152" s="141">
        <v>1</v>
      </c>
      <c r="W152" s="141" t="s">
        <v>28</v>
      </c>
      <c r="X152" s="144">
        <f>V152*'Daftar HPP'!$G$39</f>
        <v>1100</v>
      </c>
      <c r="Z152" s="141">
        <v>7</v>
      </c>
      <c r="AA152" s="142" t="s">
        <v>251</v>
      </c>
      <c r="AB152" s="141">
        <v>1</v>
      </c>
      <c r="AC152" s="141" t="s">
        <v>28</v>
      </c>
      <c r="AD152" s="144">
        <f>AB152*'Daftar HPP'!$G$39</f>
        <v>1100</v>
      </c>
      <c r="AF152" s="153"/>
      <c r="AG152" s="153"/>
      <c r="AH152" s="206"/>
      <c r="AI152" s="206"/>
      <c r="AJ152" s="157"/>
    </row>
    <row r="153" spans="2:36" x14ac:dyDescent="0.45">
      <c r="B153" s="153"/>
      <c r="C153" s="150"/>
      <c r="D153" s="261" t="s">
        <v>53</v>
      </c>
      <c r="E153" s="261"/>
      <c r="F153" s="190">
        <f>SUM(F146:F152)</f>
        <v>13262.391867030055</v>
      </c>
      <c r="H153" s="153"/>
      <c r="I153" s="150"/>
      <c r="J153" s="261" t="s">
        <v>53</v>
      </c>
      <c r="K153" s="261"/>
      <c r="L153" s="190">
        <f>SUM(L146:L152)</f>
        <v>13811.480060353075</v>
      </c>
      <c r="N153" s="153"/>
      <c r="O153" s="153"/>
      <c r="P153" s="206"/>
      <c r="Q153" s="206"/>
      <c r="R153" s="157"/>
      <c r="T153" s="153"/>
      <c r="U153" s="150"/>
      <c r="V153" s="261" t="s">
        <v>53</v>
      </c>
      <c r="W153" s="261"/>
      <c r="X153" s="190">
        <f>SUM(X146:X152)</f>
        <v>19983.418501798798</v>
      </c>
      <c r="Z153" s="153"/>
      <c r="AA153" s="150"/>
      <c r="AB153" s="261" t="s">
        <v>53</v>
      </c>
      <c r="AC153" s="261"/>
      <c r="AD153" s="190">
        <f>SUM(AD146:AD152)</f>
        <v>20532.506695121814</v>
      </c>
      <c r="AF153" s="153"/>
      <c r="AG153" s="153"/>
      <c r="AH153" s="206"/>
      <c r="AI153" s="206"/>
      <c r="AJ153" s="157"/>
    </row>
    <row r="154" spans="2:36" x14ac:dyDescent="0.45">
      <c r="B154" s="153"/>
      <c r="C154" s="153"/>
      <c r="D154" s="256" t="s">
        <v>116</v>
      </c>
      <c r="E154" s="256"/>
      <c r="F154" s="147">
        <v>26000</v>
      </c>
      <c r="H154" s="153"/>
      <c r="I154" s="153"/>
      <c r="J154" s="256" t="s">
        <v>116</v>
      </c>
      <c r="K154" s="256"/>
      <c r="L154" s="147">
        <v>26000</v>
      </c>
      <c r="N154" s="153"/>
      <c r="O154" s="153"/>
      <c r="P154" s="206"/>
      <c r="Q154" s="206"/>
      <c r="R154" s="157"/>
      <c r="T154" s="153"/>
      <c r="U154" s="153"/>
      <c r="V154" s="256" t="s">
        <v>116</v>
      </c>
      <c r="W154" s="256"/>
      <c r="X154" s="147">
        <v>38000</v>
      </c>
      <c r="Z154" s="153"/>
      <c r="AA154" s="153"/>
      <c r="AB154" s="256" t="s">
        <v>116</v>
      </c>
      <c r="AC154" s="256"/>
      <c r="AD154" s="147">
        <v>38000</v>
      </c>
      <c r="AF154" s="153"/>
      <c r="AG154" s="153"/>
      <c r="AH154" s="206"/>
      <c r="AI154" s="206"/>
      <c r="AJ154" s="157"/>
    </row>
    <row r="155" spans="2:36" x14ac:dyDescent="0.45">
      <c r="B155" s="153"/>
      <c r="C155" s="153"/>
      <c r="D155" s="256" t="s">
        <v>119</v>
      </c>
      <c r="E155" s="256"/>
      <c r="F155" s="148">
        <f>F154-F153</f>
        <v>12737.608132969945</v>
      </c>
      <c r="H155" s="153"/>
      <c r="I155" s="153"/>
      <c r="J155" s="256" t="s">
        <v>119</v>
      </c>
      <c r="K155" s="256"/>
      <c r="L155" s="148">
        <f>L154-L153</f>
        <v>12188.519939646925</v>
      </c>
      <c r="N155" s="153"/>
      <c r="O155" s="153"/>
      <c r="P155" s="206"/>
      <c r="Q155" s="206"/>
      <c r="R155" s="157"/>
      <c r="T155" s="153"/>
      <c r="U155" s="153"/>
      <c r="V155" s="256" t="s">
        <v>119</v>
      </c>
      <c r="W155" s="256"/>
      <c r="X155" s="148">
        <f>X154-X153</f>
        <v>18016.581498201202</v>
      </c>
      <c r="Z155" s="153"/>
      <c r="AA155" s="153"/>
      <c r="AB155" s="256" t="s">
        <v>119</v>
      </c>
      <c r="AC155" s="256"/>
      <c r="AD155" s="148">
        <f>AD154-AD153</f>
        <v>17467.493304878186</v>
      </c>
      <c r="AF155" s="153"/>
      <c r="AG155" s="153"/>
      <c r="AH155" s="206"/>
      <c r="AI155" s="206"/>
      <c r="AJ155" s="157"/>
    </row>
    <row r="156" spans="2:36" x14ac:dyDescent="0.45">
      <c r="B156" s="153"/>
      <c r="C156" s="153"/>
      <c r="D156" s="206"/>
      <c r="E156" s="206"/>
      <c r="F156" s="157"/>
      <c r="H156" s="153"/>
      <c r="I156" s="153"/>
      <c r="J156" s="206"/>
      <c r="K156" s="206"/>
      <c r="L156" s="157"/>
      <c r="N156" s="153"/>
      <c r="O156" s="153"/>
      <c r="P156" s="206"/>
      <c r="Q156" s="206"/>
      <c r="R156" s="157"/>
      <c r="T156" s="153"/>
      <c r="U156" s="153"/>
      <c r="V156" s="206"/>
      <c r="W156" s="206"/>
      <c r="X156" s="157"/>
      <c r="Z156" s="153"/>
      <c r="AA156" s="153"/>
      <c r="AB156" s="206"/>
      <c r="AC156" s="206"/>
      <c r="AD156" s="157"/>
      <c r="AF156" s="153"/>
      <c r="AG156" s="153"/>
      <c r="AH156" s="206"/>
      <c r="AI156" s="206"/>
      <c r="AJ156" s="157"/>
    </row>
    <row r="157" spans="2:36" ht="15.4" x14ac:dyDescent="0.45">
      <c r="B157" s="259" t="s">
        <v>337</v>
      </c>
      <c r="C157" s="259"/>
      <c r="D157" s="259"/>
      <c r="E157" s="259"/>
      <c r="F157" s="259"/>
      <c r="G157" s="259"/>
      <c r="H157" s="259"/>
      <c r="I157" s="259"/>
      <c r="J157" s="259"/>
      <c r="K157" s="259"/>
      <c r="L157" s="259"/>
      <c r="M157" s="259"/>
      <c r="N157" s="259"/>
      <c r="O157" s="259"/>
      <c r="P157" s="259"/>
      <c r="Q157" s="259"/>
      <c r="R157" s="259"/>
      <c r="T157" s="259" t="s">
        <v>354</v>
      </c>
      <c r="U157" s="259"/>
      <c r="V157" s="259"/>
      <c r="W157" s="259"/>
      <c r="X157" s="259"/>
      <c r="Y157" s="259"/>
      <c r="Z157" s="259"/>
      <c r="AA157" s="259"/>
      <c r="AB157" s="259"/>
      <c r="AC157" s="259"/>
      <c r="AD157" s="259"/>
      <c r="AE157" s="259"/>
      <c r="AF157" s="259"/>
      <c r="AG157" s="259"/>
      <c r="AH157" s="259"/>
      <c r="AI157" s="259"/>
      <c r="AJ157" s="259"/>
    </row>
    <row r="158" spans="2:36" ht="14.65" thickBot="1" x14ac:dyDescent="0.5">
      <c r="B158" s="2" t="s">
        <v>253</v>
      </c>
      <c r="H158" s="2" t="s">
        <v>259</v>
      </c>
      <c r="N158" s="2" t="s">
        <v>263</v>
      </c>
      <c r="T158" s="2" t="s">
        <v>253</v>
      </c>
      <c r="Z158" s="2" t="s">
        <v>259</v>
      </c>
      <c r="AF158" s="2" t="s">
        <v>263</v>
      </c>
    </row>
    <row r="159" spans="2:36" x14ac:dyDescent="0.45">
      <c r="B159" s="119" t="s">
        <v>0</v>
      </c>
      <c r="C159" s="119" t="s">
        <v>49</v>
      </c>
      <c r="D159" s="119" t="s">
        <v>34</v>
      </c>
      <c r="E159" s="119" t="s">
        <v>50</v>
      </c>
      <c r="F159" s="119" t="s">
        <v>36</v>
      </c>
      <c r="H159" s="119" t="s">
        <v>0</v>
      </c>
      <c r="I159" s="119" t="s">
        <v>49</v>
      </c>
      <c r="J159" s="119" t="s">
        <v>34</v>
      </c>
      <c r="K159" s="119" t="s">
        <v>50</v>
      </c>
      <c r="L159" s="119" t="s">
        <v>36</v>
      </c>
      <c r="N159" s="119" t="s">
        <v>0</v>
      </c>
      <c r="O159" s="119" t="s">
        <v>49</v>
      </c>
      <c r="P159" s="119" t="s">
        <v>34</v>
      </c>
      <c r="Q159" s="119" t="s">
        <v>50</v>
      </c>
      <c r="R159" s="119" t="s">
        <v>36</v>
      </c>
      <c r="T159" s="119" t="s">
        <v>0</v>
      </c>
      <c r="U159" s="119" t="s">
        <v>49</v>
      </c>
      <c r="V159" s="119" t="s">
        <v>34</v>
      </c>
      <c r="W159" s="119" t="s">
        <v>50</v>
      </c>
      <c r="X159" s="119" t="s">
        <v>36</v>
      </c>
      <c r="Z159" s="119" t="s">
        <v>0</v>
      </c>
      <c r="AA159" s="119" t="s">
        <v>49</v>
      </c>
      <c r="AB159" s="119" t="s">
        <v>34</v>
      </c>
      <c r="AC159" s="119" t="s">
        <v>50</v>
      </c>
      <c r="AD159" s="119" t="s">
        <v>36</v>
      </c>
      <c r="AF159" s="119" t="s">
        <v>0</v>
      </c>
      <c r="AG159" s="119" t="s">
        <v>49</v>
      </c>
      <c r="AH159" s="119" t="s">
        <v>34</v>
      </c>
      <c r="AI159" s="119" t="s">
        <v>50</v>
      </c>
      <c r="AJ159" s="119" t="s">
        <v>36</v>
      </c>
    </row>
    <row r="160" spans="2:36" x14ac:dyDescent="0.45">
      <c r="B160" s="141">
        <v>1</v>
      </c>
      <c r="C160" s="142" t="s">
        <v>112</v>
      </c>
      <c r="D160" s="141">
        <v>1</v>
      </c>
      <c r="E160" s="141" t="s">
        <v>6</v>
      </c>
      <c r="F160" s="143">
        <f>D160*'Daftar HPP'!$L$57</f>
        <v>4875.7315789473687</v>
      </c>
      <c r="H160" s="141">
        <v>1</v>
      </c>
      <c r="I160" s="142" t="s">
        <v>112</v>
      </c>
      <c r="J160" s="141">
        <v>1</v>
      </c>
      <c r="K160" s="141" t="s">
        <v>6</v>
      </c>
      <c r="L160" s="143">
        <f>J160*'Daftar HPP'!$L$57</f>
        <v>4875.7315789473687</v>
      </c>
      <c r="N160" s="141">
        <v>1</v>
      </c>
      <c r="O160" s="142" t="s">
        <v>112</v>
      </c>
      <c r="P160" s="141">
        <v>1</v>
      </c>
      <c r="Q160" s="141" t="s">
        <v>6</v>
      </c>
      <c r="R160" s="143">
        <f>P160*'Daftar HPP'!$L$57</f>
        <v>4875.7315789473687</v>
      </c>
      <c r="T160" s="141">
        <v>1</v>
      </c>
      <c r="U160" s="142" t="s">
        <v>112</v>
      </c>
      <c r="V160" s="141">
        <v>2</v>
      </c>
      <c r="W160" s="141" t="s">
        <v>6</v>
      </c>
      <c r="X160" s="143">
        <f>V160*'Daftar HPP'!$L$57</f>
        <v>9751.4631578947374</v>
      </c>
      <c r="Z160" s="141">
        <v>1</v>
      </c>
      <c r="AA160" s="142" t="s">
        <v>112</v>
      </c>
      <c r="AB160" s="141">
        <v>2</v>
      </c>
      <c r="AC160" s="141" t="s">
        <v>6</v>
      </c>
      <c r="AD160" s="143">
        <f>AB160*'Daftar HPP'!$L$57</f>
        <v>9751.4631578947374</v>
      </c>
      <c r="AF160" s="141">
        <v>1</v>
      </c>
      <c r="AG160" s="142" t="s">
        <v>112</v>
      </c>
      <c r="AH160" s="141">
        <v>2</v>
      </c>
      <c r="AI160" s="141" t="s">
        <v>6</v>
      </c>
      <c r="AJ160" s="143">
        <f>AH160*'Daftar HPP'!$L$57</f>
        <v>9751.4631578947374</v>
      </c>
    </row>
    <row r="161" spans="2:36" x14ac:dyDescent="0.45">
      <c r="B161" s="141">
        <v>2</v>
      </c>
      <c r="C161" s="142" t="s">
        <v>21</v>
      </c>
      <c r="D161" s="141">
        <v>40</v>
      </c>
      <c r="E161" s="141" t="s">
        <v>8</v>
      </c>
      <c r="F161" s="143">
        <f>D161*'Daftar HPP'!$F$131</f>
        <v>1730.1435406698565</v>
      </c>
      <c r="H161" s="141">
        <v>2</v>
      </c>
      <c r="I161" s="142" t="s">
        <v>21</v>
      </c>
      <c r="J161" s="141">
        <v>40</v>
      </c>
      <c r="K161" s="141" t="s">
        <v>8</v>
      </c>
      <c r="L161" s="143">
        <f>J161*'Daftar HPP'!$F$131</f>
        <v>1730.1435406698565</v>
      </c>
      <c r="N161" s="141">
        <v>2</v>
      </c>
      <c r="O161" s="142" t="s">
        <v>21</v>
      </c>
      <c r="P161" s="141">
        <v>40</v>
      </c>
      <c r="Q161" s="141" t="s">
        <v>8</v>
      </c>
      <c r="R161" s="143">
        <f>P161*'Daftar HPP'!$F$131</f>
        <v>1730.1435406698565</v>
      </c>
      <c r="T161" s="141">
        <v>2</v>
      </c>
      <c r="U161" s="142" t="s">
        <v>21</v>
      </c>
      <c r="V161" s="141">
        <v>80</v>
      </c>
      <c r="W161" s="141" t="s">
        <v>8</v>
      </c>
      <c r="X161" s="143">
        <f>V161*'Daftar HPP'!$F$131</f>
        <v>3460.287081339713</v>
      </c>
      <c r="Z161" s="141">
        <v>2</v>
      </c>
      <c r="AA161" s="142" t="s">
        <v>21</v>
      </c>
      <c r="AB161" s="141">
        <v>80</v>
      </c>
      <c r="AC161" s="141" t="s">
        <v>8</v>
      </c>
      <c r="AD161" s="143">
        <f>AB161*'Daftar HPP'!$F$131</f>
        <v>3460.287081339713</v>
      </c>
      <c r="AF161" s="141">
        <v>2</v>
      </c>
      <c r="AG161" s="142" t="s">
        <v>21</v>
      </c>
      <c r="AH161" s="141">
        <v>80</v>
      </c>
      <c r="AI161" s="141" t="s">
        <v>8</v>
      </c>
      <c r="AJ161" s="143">
        <f>AH161*'Daftar HPP'!$F$131</f>
        <v>3460.287081339713</v>
      </c>
    </row>
    <row r="162" spans="2:36" x14ac:dyDescent="0.45">
      <c r="B162" s="141">
        <v>3</v>
      </c>
      <c r="C162" s="142" t="s">
        <v>271</v>
      </c>
      <c r="D162" s="141">
        <v>1</v>
      </c>
      <c r="E162" s="141" t="s">
        <v>118</v>
      </c>
      <c r="F162" s="143">
        <f>D162*'Daftar HPP'!$G$13</f>
        <v>1200</v>
      </c>
      <c r="H162" s="141">
        <v>3</v>
      </c>
      <c r="I162" s="142" t="s">
        <v>271</v>
      </c>
      <c r="J162" s="141">
        <v>1</v>
      </c>
      <c r="K162" s="141" t="s">
        <v>118</v>
      </c>
      <c r="L162" s="143">
        <f>J162*'Daftar HPP'!$G$13</f>
        <v>1200</v>
      </c>
      <c r="N162" s="141">
        <v>3</v>
      </c>
      <c r="O162" s="142" t="s">
        <v>271</v>
      </c>
      <c r="P162" s="141">
        <v>1</v>
      </c>
      <c r="Q162" s="141" t="s">
        <v>118</v>
      </c>
      <c r="R162" s="143">
        <f>P162*'Daftar HPP'!$G$13</f>
        <v>1200</v>
      </c>
      <c r="T162" s="141">
        <v>3</v>
      </c>
      <c r="U162" s="142" t="s">
        <v>271</v>
      </c>
      <c r="V162" s="141">
        <v>1</v>
      </c>
      <c r="W162" s="141" t="s">
        <v>118</v>
      </c>
      <c r="X162" s="143">
        <f>V162*'Daftar HPP'!$G$13</f>
        <v>1200</v>
      </c>
      <c r="Z162" s="141">
        <v>3</v>
      </c>
      <c r="AA162" s="142" t="s">
        <v>271</v>
      </c>
      <c r="AB162" s="141">
        <v>1</v>
      </c>
      <c r="AC162" s="141" t="s">
        <v>118</v>
      </c>
      <c r="AD162" s="143">
        <f>AB162*'Daftar HPP'!$G$13</f>
        <v>1200</v>
      </c>
      <c r="AF162" s="141">
        <v>3</v>
      </c>
      <c r="AG162" s="142" t="s">
        <v>271</v>
      </c>
      <c r="AH162" s="141">
        <v>1</v>
      </c>
      <c r="AI162" s="141" t="s">
        <v>118</v>
      </c>
      <c r="AJ162" s="143">
        <f>AH162*'Daftar HPP'!$G$13</f>
        <v>1200</v>
      </c>
    </row>
    <row r="163" spans="2:36" x14ac:dyDescent="0.45">
      <c r="B163" s="141">
        <v>4</v>
      </c>
      <c r="C163" s="142" t="s">
        <v>17</v>
      </c>
      <c r="D163" s="141">
        <v>30</v>
      </c>
      <c r="E163" s="141" t="s">
        <v>8</v>
      </c>
      <c r="F163" s="144">
        <f>D163*'Daftar HPP'!$F$152</f>
        <v>2093.9588100686497</v>
      </c>
      <c r="H163" s="141">
        <v>4</v>
      </c>
      <c r="I163" s="142" t="s">
        <v>25</v>
      </c>
      <c r="J163" s="141">
        <v>30</v>
      </c>
      <c r="K163" s="141" t="s">
        <v>8</v>
      </c>
      <c r="L163" s="144">
        <f>J163*'Daftar HPP'!$G$22</f>
        <v>1995</v>
      </c>
      <c r="N163" s="141">
        <v>4</v>
      </c>
      <c r="O163" s="142" t="s">
        <v>107</v>
      </c>
      <c r="P163" s="141">
        <v>30</v>
      </c>
      <c r="Q163" s="141" t="s">
        <v>8</v>
      </c>
      <c r="R163" s="144">
        <f>P163*'Daftar HPP'!$L$152</f>
        <v>2144.1036802532649</v>
      </c>
      <c r="T163" s="141">
        <v>4</v>
      </c>
      <c r="U163" s="142" t="s">
        <v>17</v>
      </c>
      <c r="V163" s="141">
        <v>30</v>
      </c>
      <c r="W163" s="141" t="s">
        <v>8</v>
      </c>
      <c r="X163" s="144">
        <f>V163*'Daftar HPP'!$F$152</f>
        <v>2093.9588100686497</v>
      </c>
      <c r="Z163" s="141">
        <v>4</v>
      </c>
      <c r="AA163" s="142" t="s">
        <v>25</v>
      </c>
      <c r="AB163" s="141">
        <v>30</v>
      </c>
      <c r="AC163" s="141" t="s">
        <v>8</v>
      </c>
      <c r="AD163" s="144">
        <f>AB163*'Daftar HPP'!$G$22</f>
        <v>1995</v>
      </c>
      <c r="AF163" s="141">
        <v>4</v>
      </c>
      <c r="AG163" s="142" t="s">
        <v>107</v>
      </c>
      <c r="AH163" s="141">
        <v>30</v>
      </c>
      <c r="AI163" s="141" t="s">
        <v>8</v>
      </c>
      <c r="AJ163" s="144">
        <f>AH163*'Daftar HPP'!$L$152</f>
        <v>2144.1036802532649</v>
      </c>
    </row>
    <row r="164" spans="2:36" x14ac:dyDescent="0.45">
      <c r="B164" s="141">
        <v>5</v>
      </c>
      <c r="C164" s="142" t="s">
        <v>25</v>
      </c>
      <c r="D164" s="141">
        <v>30</v>
      </c>
      <c r="E164" s="141" t="s">
        <v>8</v>
      </c>
      <c r="F164" s="144">
        <f>D164*'Daftar HPP'!$G$22</f>
        <v>1995</v>
      </c>
      <c r="H164" s="141">
        <v>5</v>
      </c>
      <c r="I164" s="142" t="s">
        <v>105</v>
      </c>
      <c r="J164" s="141">
        <v>30</v>
      </c>
      <c r="K164" s="141" t="s">
        <v>8</v>
      </c>
      <c r="L164" s="144">
        <f>J164*'Daftar HPP'!$F$143</f>
        <v>2146.3497453310692</v>
      </c>
      <c r="N164" s="141">
        <v>5</v>
      </c>
      <c r="O164" s="142" t="s">
        <v>26</v>
      </c>
      <c r="P164" s="141">
        <v>30</v>
      </c>
      <c r="Q164" s="141" t="s">
        <v>8</v>
      </c>
      <c r="R164" s="144">
        <f>P164*'Daftar HPP'!$L$143</f>
        <v>1647.4064221926658</v>
      </c>
      <c r="T164" s="141">
        <v>5</v>
      </c>
      <c r="U164" s="142" t="s">
        <v>25</v>
      </c>
      <c r="V164" s="141">
        <v>30</v>
      </c>
      <c r="W164" s="141" t="s">
        <v>8</v>
      </c>
      <c r="X164" s="144">
        <f>V164*'Daftar HPP'!$G$22</f>
        <v>1995</v>
      </c>
      <c r="Z164" s="141">
        <v>5</v>
      </c>
      <c r="AA164" s="142" t="s">
        <v>105</v>
      </c>
      <c r="AB164" s="141">
        <v>30</v>
      </c>
      <c r="AC164" s="141" t="s">
        <v>8</v>
      </c>
      <c r="AD164" s="144">
        <f>AB164*'Daftar HPP'!$F$143</f>
        <v>2146.3497453310692</v>
      </c>
      <c r="AF164" s="141">
        <v>5</v>
      </c>
      <c r="AG164" s="142" t="s">
        <v>26</v>
      </c>
      <c r="AH164" s="141">
        <v>30</v>
      </c>
      <c r="AI164" s="141" t="s">
        <v>8</v>
      </c>
      <c r="AJ164" s="144">
        <f>AH164*'Daftar HPP'!$L$143</f>
        <v>1647.4064221926658</v>
      </c>
    </row>
    <row r="165" spans="2:36" x14ac:dyDescent="0.45">
      <c r="B165" s="141">
        <v>6</v>
      </c>
      <c r="C165" s="142" t="s">
        <v>275</v>
      </c>
      <c r="D165" s="141">
        <v>1</v>
      </c>
      <c r="E165" s="141" t="s">
        <v>8</v>
      </c>
      <c r="F165" s="144">
        <f>D165*'Daftar HPP'!$G$34</f>
        <v>500</v>
      </c>
      <c r="H165" s="141">
        <v>6</v>
      </c>
      <c r="I165" s="142" t="s">
        <v>275</v>
      </c>
      <c r="J165" s="141">
        <v>1</v>
      </c>
      <c r="K165" s="141" t="s">
        <v>8</v>
      </c>
      <c r="L165" s="144">
        <f>J165*'Daftar HPP'!$G$34</f>
        <v>500</v>
      </c>
      <c r="N165" s="141">
        <v>6</v>
      </c>
      <c r="O165" s="142" t="s">
        <v>275</v>
      </c>
      <c r="P165" s="141">
        <v>1</v>
      </c>
      <c r="Q165" s="141" t="s">
        <v>8</v>
      </c>
      <c r="R165" s="144">
        <f>P165*'Daftar HPP'!$G$34</f>
        <v>500</v>
      </c>
      <c r="T165" s="141">
        <v>6</v>
      </c>
      <c r="U165" s="142" t="s">
        <v>275</v>
      </c>
      <c r="V165" s="141">
        <v>1</v>
      </c>
      <c r="W165" s="141" t="s">
        <v>8</v>
      </c>
      <c r="X165" s="144">
        <f>V165*'Daftar HPP'!$G$34</f>
        <v>500</v>
      </c>
      <c r="Z165" s="141">
        <v>6</v>
      </c>
      <c r="AA165" s="142" t="s">
        <v>275</v>
      </c>
      <c r="AB165" s="141">
        <v>1</v>
      </c>
      <c r="AC165" s="141" t="s">
        <v>8</v>
      </c>
      <c r="AD165" s="144">
        <f>AB165*'Daftar HPP'!$G$34</f>
        <v>500</v>
      </c>
      <c r="AF165" s="141">
        <v>6</v>
      </c>
      <c r="AG165" s="142" t="s">
        <v>275</v>
      </c>
      <c r="AH165" s="141">
        <v>1</v>
      </c>
      <c r="AI165" s="141" t="s">
        <v>8</v>
      </c>
      <c r="AJ165" s="144">
        <f>AH165*'Daftar HPP'!$G$34</f>
        <v>500</v>
      </c>
    </row>
    <row r="166" spans="2:36" x14ac:dyDescent="0.45">
      <c r="B166" s="141">
        <v>7</v>
      </c>
      <c r="C166" s="142" t="s">
        <v>251</v>
      </c>
      <c r="D166" s="141">
        <v>1</v>
      </c>
      <c r="E166" s="141" t="s">
        <v>28</v>
      </c>
      <c r="F166" s="144">
        <f>D166*'Daftar HPP'!$G$39</f>
        <v>1100</v>
      </c>
      <c r="H166" s="141">
        <v>7</v>
      </c>
      <c r="I166" s="142" t="s">
        <v>251</v>
      </c>
      <c r="J166" s="141">
        <v>1</v>
      </c>
      <c r="K166" s="141" t="s">
        <v>28</v>
      </c>
      <c r="L166" s="144">
        <f>J166*'Daftar HPP'!$G$39</f>
        <v>1100</v>
      </c>
      <c r="N166" s="141">
        <v>7</v>
      </c>
      <c r="O166" s="142" t="s">
        <v>251</v>
      </c>
      <c r="P166" s="141">
        <v>1</v>
      </c>
      <c r="Q166" s="141" t="s">
        <v>28</v>
      </c>
      <c r="R166" s="144">
        <f>P166*'Daftar HPP'!$G$39</f>
        <v>1100</v>
      </c>
      <c r="T166" s="141">
        <v>7</v>
      </c>
      <c r="U166" s="142" t="s">
        <v>251</v>
      </c>
      <c r="V166" s="141">
        <v>1</v>
      </c>
      <c r="W166" s="141" t="s">
        <v>28</v>
      </c>
      <c r="X166" s="144">
        <f>V166*'Daftar HPP'!$G$39</f>
        <v>1100</v>
      </c>
      <c r="Z166" s="141">
        <v>7</v>
      </c>
      <c r="AA166" s="142" t="s">
        <v>251</v>
      </c>
      <c r="AB166" s="141">
        <v>1</v>
      </c>
      <c r="AC166" s="141" t="s">
        <v>28</v>
      </c>
      <c r="AD166" s="144">
        <f>AB166*'Daftar HPP'!$G$39</f>
        <v>1100</v>
      </c>
      <c r="AF166" s="141">
        <v>7</v>
      </c>
      <c r="AG166" s="142" t="s">
        <v>251</v>
      </c>
      <c r="AH166" s="141">
        <v>1</v>
      </c>
      <c r="AI166" s="141" t="s">
        <v>28</v>
      </c>
      <c r="AJ166" s="144">
        <f>AH166*'Daftar HPP'!$G$39</f>
        <v>1100</v>
      </c>
    </row>
    <row r="167" spans="2:36" x14ac:dyDescent="0.45">
      <c r="B167" s="153"/>
      <c r="C167" s="150"/>
      <c r="D167" s="261" t="s">
        <v>53</v>
      </c>
      <c r="E167" s="261"/>
      <c r="F167" s="190">
        <f>SUM(F160:F166)</f>
        <v>13494.833929685876</v>
      </c>
      <c r="H167" s="153"/>
      <c r="I167" s="150"/>
      <c r="J167" s="261" t="s">
        <v>53</v>
      </c>
      <c r="K167" s="261"/>
      <c r="L167" s="190">
        <f>SUM(L160:L166)</f>
        <v>13547.224864948294</v>
      </c>
      <c r="N167" s="153"/>
      <c r="O167" s="150"/>
      <c r="P167" s="261" t="s">
        <v>53</v>
      </c>
      <c r="Q167" s="261"/>
      <c r="R167" s="190">
        <f>SUM(R160:R166)</f>
        <v>13197.385222063156</v>
      </c>
      <c r="T167" s="153"/>
      <c r="U167" s="150"/>
      <c r="V167" s="261" t="s">
        <v>53</v>
      </c>
      <c r="W167" s="261"/>
      <c r="X167" s="190">
        <f>SUM(X160:X166)</f>
        <v>20100.709049303099</v>
      </c>
      <c r="Z167" s="153"/>
      <c r="AA167" s="150"/>
      <c r="AB167" s="261" t="s">
        <v>53</v>
      </c>
      <c r="AC167" s="261"/>
      <c r="AD167" s="190">
        <f>SUM(AD160:AD166)</f>
        <v>20153.099984565521</v>
      </c>
      <c r="AF167" s="153"/>
      <c r="AG167" s="150"/>
      <c r="AH167" s="261" t="s">
        <v>53</v>
      </c>
      <c r="AI167" s="261"/>
      <c r="AJ167" s="190">
        <f>SUM(AJ160:AJ166)</f>
        <v>19803.260341680383</v>
      </c>
    </row>
    <row r="168" spans="2:36" x14ac:dyDescent="0.45">
      <c r="B168" s="153"/>
      <c r="C168" s="153"/>
      <c r="D168" s="256" t="s">
        <v>116</v>
      </c>
      <c r="E168" s="256"/>
      <c r="F168" s="147">
        <v>26000</v>
      </c>
      <c r="H168" s="153"/>
      <c r="I168" s="153"/>
      <c r="J168" s="256" t="s">
        <v>116</v>
      </c>
      <c r="K168" s="256"/>
      <c r="L168" s="147">
        <v>26000</v>
      </c>
      <c r="N168" s="153"/>
      <c r="O168" s="153"/>
      <c r="P168" s="256" t="s">
        <v>116</v>
      </c>
      <c r="Q168" s="256"/>
      <c r="R168" s="147">
        <v>26000</v>
      </c>
      <c r="T168" s="153"/>
      <c r="U168" s="153"/>
      <c r="V168" s="256" t="s">
        <v>116</v>
      </c>
      <c r="W168" s="256"/>
      <c r="X168" s="147">
        <v>38000</v>
      </c>
      <c r="Z168" s="153"/>
      <c r="AA168" s="153"/>
      <c r="AB168" s="256" t="s">
        <v>116</v>
      </c>
      <c r="AC168" s="256"/>
      <c r="AD168" s="147">
        <v>38000</v>
      </c>
      <c r="AF168" s="153"/>
      <c r="AG168" s="153"/>
      <c r="AH168" s="256" t="s">
        <v>116</v>
      </c>
      <c r="AI168" s="256"/>
      <c r="AJ168" s="147">
        <v>38000</v>
      </c>
    </row>
    <row r="169" spans="2:36" x14ac:dyDescent="0.45">
      <c r="B169" s="153"/>
      <c r="C169" s="153"/>
      <c r="D169" s="256" t="s">
        <v>119</v>
      </c>
      <c r="E169" s="256"/>
      <c r="F169" s="148">
        <f>F168-F167</f>
        <v>12505.166070314124</v>
      </c>
      <c r="H169" s="153"/>
      <c r="I169" s="153"/>
      <c r="J169" s="256" t="s">
        <v>119</v>
      </c>
      <c r="K169" s="256"/>
      <c r="L169" s="148">
        <f>L168-L167</f>
        <v>12452.775135051706</v>
      </c>
      <c r="N169" s="153"/>
      <c r="O169" s="153"/>
      <c r="P169" s="256" t="s">
        <v>119</v>
      </c>
      <c r="Q169" s="256"/>
      <c r="R169" s="148">
        <f>R168-R167</f>
        <v>12802.614777936844</v>
      </c>
      <c r="T169" s="153"/>
      <c r="U169" s="153"/>
      <c r="V169" s="256" t="s">
        <v>119</v>
      </c>
      <c r="W169" s="256"/>
      <c r="X169" s="148">
        <f>X168-X167</f>
        <v>17899.290950696901</v>
      </c>
      <c r="Z169" s="153"/>
      <c r="AA169" s="153"/>
      <c r="AB169" s="256" t="s">
        <v>119</v>
      </c>
      <c r="AC169" s="256"/>
      <c r="AD169" s="148">
        <f>AD168-AD167</f>
        <v>17846.900015434479</v>
      </c>
      <c r="AF169" s="153"/>
      <c r="AG169" s="153"/>
      <c r="AH169" s="256" t="s">
        <v>119</v>
      </c>
      <c r="AI169" s="256"/>
      <c r="AJ169" s="148">
        <f>AJ168-AJ167</f>
        <v>18196.739658319617</v>
      </c>
    </row>
    <row r="171" spans="2:36" ht="14.65" thickBot="1" x14ac:dyDescent="0.5">
      <c r="B171" s="2" t="s">
        <v>256</v>
      </c>
      <c r="H171" s="2" t="s">
        <v>260</v>
      </c>
      <c r="N171" s="2" t="s">
        <v>307</v>
      </c>
      <c r="T171" s="2" t="s">
        <v>256</v>
      </c>
      <c r="Z171" s="2" t="s">
        <v>260</v>
      </c>
      <c r="AF171" s="2" t="s">
        <v>307</v>
      </c>
    </row>
    <row r="172" spans="2:36" x14ac:dyDescent="0.45">
      <c r="B172" s="119" t="s">
        <v>0</v>
      </c>
      <c r="C172" s="119" t="s">
        <v>49</v>
      </c>
      <c r="D172" s="119" t="s">
        <v>34</v>
      </c>
      <c r="E172" s="119" t="s">
        <v>50</v>
      </c>
      <c r="F172" s="119" t="s">
        <v>36</v>
      </c>
      <c r="H172" s="119" t="s">
        <v>0</v>
      </c>
      <c r="I172" s="119" t="s">
        <v>49</v>
      </c>
      <c r="J172" s="119" t="s">
        <v>34</v>
      </c>
      <c r="K172" s="119" t="s">
        <v>50</v>
      </c>
      <c r="L172" s="119" t="s">
        <v>36</v>
      </c>
      <c r="N172" s="119" t="s">
        <v>0</v>
      </c>
      <c r="O172" s="119" t="s">
        <v>49</v>
      </c>
      <c r="P172" s="119" t="s">
        <v>34</v>
      </c>
      <c r="Q172" s="119" t="s">
        <v>50</v>
      </c>
      <c r="R172" s="119" t="s">
        <v>36</v>
      </c>
      <c r="T172" s="119" t="s">
        <v>0</v>
      </c>
      <c r="U172" s="119" t="s">
        <v>49</v>
      </c>
      <c r="V172" s="119" t="s">
        <v>34</v>
      </c>
      <c r="W172" s="119" t="s">
        <v>50</v>
      </c>
      <c r="X172" s="119" t="s">
        <v>36</v>
      </c>
      <c r="Z172" s="119" t="s">
        <v>0</v>
      </c>
      <c r="AA172" s="119" t="s">
        <v>49</v>
      </c>
      <c r="AB172" s="119" t="s">
        <v>34</v>
      </c>
      <c r="AC172" s="119" t="s">
        <v>50</v>
      </c>
      <c r="AD172" s="119" t="s">
        <v>36</v>
      </c>
      <c r="AF172" s="119" t="s">
        <v>0</v>
      </c>
      <c r="AG172" s="119" t="s">
        <v>49</v>
      </c>
      <c r="AH172" s="119" t="s">
        <v>34</v>
      </c>
      <c r="AI172" s="119" t="s">
        <v>50</v>
      </c>
      <c r="AJ172" s="119" t="s">
        <v>36</v>
      </c>
    </row>
    <row r="173" spans="2:36" x14ac:dyDescent="0.45">
      <c r="B173" s="141">
        <v>1</v>
      </c>
      <c r="C173" s="142" t="s">
        <v>112</v>
      </c>
      <c r="D173" s="141">
        <v>1</v>
      </c>
      <c r="E173" s="141" t="s">
        <v>6</v>
      </c>
      <c r="F173" s="143">
        <f>D173*'Daftar HPP'!$L$57</f>
        <v>4875.7315789473687</v>
      </c>
      <c r="H173" s="141">
        <v>1</v>
      </c>
      <c r="I173" s="142" t="s">
        <v>112</v>
      </c>
      <c r="J173" s="141">
        <v>1</v>
      </c>
      <c r="K173" s="141" t="s">
        <v>6</v>
      </c>
      <c r="L173" s="143">
        <f>J173*'Daftar HPP'!$L$57</f>
        <v>4875.7315789473687</v>
      </c>
      <c r="N173" s="141">
        <v>1</v>
      </c>
      <c r="O173" s="142" t="s">
        <v>112</v>
      </c>
      <c r="P173" s="141">
        <v>1</v>
      </c>
      <c r="Q173" s="141" t="s">
        <v>6</v>
      </c>
      <c r="R173" s="143">
        <f>P173*'Daftar HPP'!$L$57</f>
        <v>4875.7315789473687</v>
      </c>
      <c r="T173" s="141">
        <v>1</v>
      </c>
      <c r="U173" s="142" t="s">
        <v>112</v>
      </c>
      <c r="V173" s="141">
        <v>2</v>
      </c>
      <c r="W173" s="141" t="s">
        <v>6</v>
      </c>
      <c r="X173" s="143">
        <f>V173*'Daftar HPP'!$L$57</f>
        <v>9751.4631578947374</v>
      </c>
      <c r="Z173" s="141">
        <v>1</v>
      </c>
      <c r="AA173" s="142" t="s">
        <v>112</v>
      </c>
      <c r="AB173" s="141">
        <v>2</v>
      </c>
      <c r="AC173" s="141" t="s">
        <v>6</v>
      </c>
      <c r="AD173" s="143">
        <f>AB173*'Daftar HPP'!$L$57</f>
        <v>9751.4631578947374</v>
      </c>
      <c r="AF173" s="141">
        <v>1</v>
      </c>
      <c r="AG173" s="142" t="s">
        <v>112</v>
      </c>
      <c r="AH173" s="141">
        <v>2</v>
      </c>
      <c r="AI173" s="141" t="s">
        <v>6</v>
      </c>
      <c r="AJ173" s="143">
        <f>AH173*'Daftar HPP'!$L$57</f>
        <v>9751.4631578947374</v>
      </c>
    </row>
    <row r="174" spans="2:36" x14ac:dyDescent="0.45">
      <c r="B174" s="141">
        <v>2</v>
      </c>
      <c r="C174" s="142" t="s">
        <v>21</v>
      </c>
      <c r="D174" s="141">
        <v>40</v>
      </c>
      <c r="E174" s="141" t="s">
        <v>8</v>
      </c>
      <c r="F174" s="143">
        <f>D174*'Daftar HPP'!$F$131</f>
        <v>1730.1435406698565</v>
      </c>
      <c r="H174" s="141">
        <v>2</v>
      </c>
      <c r="I174" s="142" t="s">
        <v>21</v>
      </c>
      <c r="J174" s="141">
        <v>40</v>
      </c>
      <c r="K174" s="141" t="s">
        <v>8</v>
      </c>
      <c r="L174" s="143">
        <f>J174*'Daftar HPP'!$F$131</f>
        <v>1730.1435406698565</v>
      </c>
      <c r="N174" s="141">
        <v>2</v>
      </c>
      <c r="O174" s="142" t="s">
        <v>21</v>
      </c>
      <c r="P174" s="141">
        <v>40</v>
      </c>
      <c r="Q174" s="141" t="s">
        <v>8</v>
      </c>
      <c r="R174" s="143">
        <f>P174*'Daftar HPP'!$F$131</f>
        <v>1730.1435406698565</v>
      </c>
      <c r="T174" s="141">
        <v>2</v>
      </c>
      <c r="U174" s="142" t="s">
        <v>21</v>
      </c>
      <c r="V174" s="141">
        <v>80</v>
      </c>
      <c r="W174" s="141" t="s">
        <v>8</v>
      </c>
      <c r="X174" s="143">
        <f>V174*'Daftar HPP'!$F$131</f>
        <v>3460.287081339713</v>
      </c>
      <c r="Z174" s="141">
        <v>2</v>
      </c>
      <c r="AA174" s="142" t="s">
        <v>21</v>
      </c>
      <c r="AB174" s="141">
        <v>80</v>
      </c>
      <c r="AC174" s="141" t="s">
        <v>8</v>
      </c>
      <c r="AD174" s="143">
        <f>AB174*'Daftar HPP'!$F$131</f>
        <v>3460.287081339713</v>
      </c>
      <c r="AF174" s="141">
        <v>2</v>
      </c>
      <c r="AG174" s="142" t="s">
        <v>21</v>
      </c>
      <c r="AH174" s="141">
        <v>80</v>
      </c>
      <c r="AI174" s="141" t="s">
        <v>8</v>
      </c>
      <c r="AJ174" s="143">
        <f>AH174*'Daftar HPP'!$F$131</f>
        <v>3460.287081339713</v>
      </c>
    </row>
    <row r="175" spans="2:36" x14ac:dyDescent="0.45">
      <c r="B175" s="141">
        <v>3</v>
      </c>
      <c r="C175" s="142" t="s">
        <v>271</v>
      </c>
      <c r="D175" s="141">
        <v>1</v>
      </c>
      <c r="E175" s="141" t="s">
        <v>118</v>
      </c>
      <c r="F175" s="143">
        <f>D175*'Daftar HPP'!$G$13</f>
        <v>1200</v>
      </c>
      <c r="H175" s="141">
        <v>3</v>
      </c>
      <c r="I175" s="142" t="s">
        <v>271</v>
      </c>
      <c r="J175" s="141">
        <v>1</v>
      </c>
      <c r="K175" s="141" t="s">
        <v>118</v>
      </c>
      <c r="L175" s="143">
        <f>J175*'Daftar HPP'!$G$13</f>
        <v>1200</v>
      </c>
      <c r="N175" s="141">
        <v>3</v>
      </c>
      <c r="O175" s="142" t="s">
        <v>271</v>
      </c>
      <c r="P175" s="141">
        <v>1</v>
      </c>
      <c r="Q175" s="141" t="s">
        <v>118</v>
      </c>
      <c r="R175" s="143">
        <f>P175*'Daftar HPP'!$G$13</f>
        <v>1200</v>
      </c>
      <c r="T175" s="141">
        <v>3</v>
      </c>
      <c r="U175" s="142" t="s">
        <v>271</v>
      </c>
      <c r="V175" s="141">
        <v>1</v>
      </c>
      <c r="W175" s="141" t="s">
        <v>118</v>
      </c>
      <c r="X175" s="143">
        <f>V175*'Daftar HPP'!$G$13</f>
        <v>1200</v>
      </c>
      <c r="Z175" s="141">
        <v>3</v>
      </c>
      <c r="AA175" s="142" t="s">
        <v>271</v>
      </c>
      <c r="AB175" s="141">
        <v>1</v>
      </c>
      <c r="AC175" s="141" t="s">
        <v>118</v>
      </c>
      <c r="AD175" s="143">
        <f>AB175*'Daftar HPP'!$G$13</f>
        <v>1200</v>
      </c>
      <c r="AF175" s="141">
        <v>3</v>
      </c>
      <c r="AG175" s="142" t="s">
        <v>271</v>
      </c>
      <c r="AH175" s="141">
        <v>1</v>
      </c>
      <c r="AI175" s="141" t="s">
        <v>118</v>
      </c>
      <c r="AJ175" s="143">
        <f>AH175*'Daftar HPP'!$G$13</f>
        <v>1200</v>
      </c>
    </row>
    <row r="176" spans="2:36" x14ac:dyDescent="0.45">
      <c r="B176" s="141">
        <v>4</v>
      </c>
      <c r="C176" s="142" t="s">
        <v>17</v>
      </c>
      <c r="D176" s="141">
        <v>30</v>
      </c>
      <c r="E176" s="141" t="s">
        <v>8</v>
      </c>
      <c r="F176" s="144">
        <f>D176*'Daftar HPP'!$F$152</f>
        <v>2093.9588100686497</v>
      </c>
      <c r="H176" s="141">
        <v>4</v>
      </c>
      <c r="I176" s="142" t="s">
        <v>25</v>
      </c>
      <c r="J176" s="141">
        <v>30</v>
      </c>
      <c r="K176" s="141" t="s">
        <v>8</v>
      </c>
      <c r="L176" s="144">
        <f>J176*'Daftar HPP'!$G$22</f>
        <v>1995</v>
      </c>
      <c r="N176" s="141">
        <v>4</v>
      </c>
      <c r="O176" s="142" t="s">
        <v>105</v>
      </c>
      <c r="P176" s="141">
        <v>30</v>
      </c>
      <c r="Q176" s="141" t="s">
        <v>8</v>
      </c>
      <c r="R176" s="144">
        <f>P176*'Daftar HPP'!$F$143</f>
        <v>2146.3497453310692</v>
      </c>
      <c r="T176" s="141">
        <v>4</v>
      </c>
      <c r="U176" s="142" t="s">
        <v>17</v>
      </c>
      <c r="V176" s="141">
        <v>30</v>
      </c>
      <c r="W176" s="141" t="s">
        <v>8</v>
      </c>
      <c r="X176" s="144">
        <f>V176*'Daftar HPP'!$F$152</f>
        <v>2093.9588100686497</v>
      </c>
      <c r="Z176" s="141">
        <v>4</v>
      </c>
      <c r="AA176" s="142" t="s">
        <v>25</v>
      </c>
      <c r="AB176" s="141">
        <v>30</v>
      </c>
      <c r="AC176" s="141" t="s">
        <v>8</v>
      </c>
      <c r="AD176" s="144">
        <f>AB176*'Daftar HPP'!$G$22</f>
        <v>1995</v>
      </c>
      <c r="AF176" s="141">
        <v>4</v>
      </c>
      <c r="AG176" s="142" t="s">
        <v>105</v>
      </c>
      <c r="AH176" s="141">
        <v>30</v>
      </c>
      <c r="AI176" s="141" t="s">
        <v>8</v>
      </c>
      <c r="AJ176" s="144">
        <f>AH176*'Daftar HPP'!$F$143</f>
        <v>2146.3497453310692</v>
      </c>
    </row>
    <row r="177" spans="2:36" x14ac:dyDescent="0.45">
      <c r="B177" s="141">
        <v>5</v>
      </c>
      <c r="C177" s="142" t="s">
        <v>105</v>
      </c>
      <c r="D177" s="141">
        <v>30</v>
      </c>
      <c r="E177" s="141" t="s">
        <v>8</v>
      </c>
      <c r="F177" s="144">
        <f>D177*'Daftar HPP'!$F$143</f>
        <v>2146.3497453310692</v>
      </c>
      <c r="H177" s="141">
        <v>5</v>
      </c>
      <c r="I177" s="142" t="s">
        <v>107</v>
      </c>
      <c r="J177" s="141">
        <v>30</v>
      </c>
      <c r="K177" s="141" t="s">
        <v>8</v>
      </c>
      <c r="L177" s="144">
        <f>J177*'Daftar HPP'!$L$152</f>
        <v>2144.1036802532649</v>
      </c>
      <c r="N177" s="141">
        <v>5</v>
      </c>
      <c r="O177" s="142" t="s">
        <v>26</v>
      </c>
      <c r="P177" s="141">
        <v>30</v>
      </c>
      <c r="Q177" s="141" t="s">
        <v>8</v>
      </c>
      <c r="R177" s="144">
        <f>P177*'Daftar HPP'!$L$143</f>
        <v>1647.4064221926658</v>
      </c>
      <c r="T177" s="141">
        <v>5</v>
      </c>
      <c r="U177" s="142" t="s">
        <v>105</v>
      </c>
      <c r="V177" s="141">
        <v>30</v>
      </c>
      <c r="W177" s="141" t="s">
        <v>8</v>
      </c>
      <c r="X177" s="144">
        <f>V177*'Daftar HPP'!$F$143</f>
        <v>2146.3497453310692</v>
      </c>
      <c r="Z177" s="141">
        <v>5</v>
      </c>
      <c r="AA177" s="142" t="s">
        <v>107</v>
      </c>
      <c r="AB177" s="141">
        <v>30</v>
      </c>
      <c r="AC177" s="141" t="s">
        <v>8</v>
      </c>
      <c r="AD177" s="144">
        <f>AB177*'Daftar HPP'!$L$152</f>
        <v>2144.1036802532649</v>
      </c>
      <c r="AF177" s="141">
        <v>5</v>
      </c>
      <c r="AG177" s="142" t="s">
        <v>26</v>
      </c>
      <c r="AH177" s="141">
        <v>30</v>
      </c>
      <c r="AI177" s="141" t="s">
        <v>8</v>
      </c>
      <c r="AJ177" s="144">
        <f>AH177*'Daftar HPP'!$L$143</f>
        <v>1647.4064221926658</v>
      </c>
    </row>
    <row r="178" spans="2:36" x14ac:dyDescent="0.45">
      <c r="B178" s="141">
        <v>6</v>
      </c>
      <c r="C178" s="142" t="s">
        <v>275</v>
      </c>
      <c r="D178" s="141">
        <v>1</v>
      </c>
      <c r="E178" s="141" t="s">
        <v>8</v>
      </c>
      <c r="F178" s="144">
        <f>D178*'Daftar HPP'!$G$34</f>
        <v>500</v>
      </c>
      <c r="H178" s="141">
        <v>6</v>
      </c>
      <c r="I178" s="142" t="s">
        <v>275</v>
      </c>
      <c r="J178" s="141">
        <v>1</v>
      </c>
      <c r="K178" s="141" t="s">
        <v>8</v>
      </c>
      <c r="L178" s="144">
        <f>J178*'Daftar HPP'!$G$34</f>
        <v>500</v>
      </c>
      <c r="N178" s="141">
        <v>6</v>
      </c>
      <c r="O178" s="142" t="s">
        <v>275</v>
      </c>
      <c r="P178" s="141">
        <v>1</v>
      </c>
      <c r="Q178" s="141" t="s">
        <v>8</v>
      </c>
      <c r="R178" s="144">
        <f>P178*'Daftar HPP'!$G$34</f>
        <v>500</v>
      </c>
      <c r="T178" s="141">
        <v>6</v>
      </c>
      <c r="U178" s="142" t="s">
        <v>275</v>
      </c>
      <c r="V178" s="141">
        <v>1</v>
      </c>
      <c r="W178" s="141" t="s">
        <v>8</v>
      </c>
      <c r="X178" s="144">
        <f>V178*'Daftar HPP'!$G$34</f>
        <v>500</v>
      </c>
      <c r="Z178" s="141">
        <v>6</v>
      </c>
      <c r="AA178" s="142" t="s">
        <v>275</v>
      </c>
      <c r="AB178" s="141">
        <v>1</v>
      </c>
      <c r="AC178" s="141" t="s">
        <v>8</v>
      </c>
      <c r="AD178" s="144">
        <f>AB178*'Daftar HPP'!$G$34</f>
        <v>500</v>
      </c>
      <c r="AF178" s="141">
        <v>6</v>
      </c>
      <c r="AG178" s="142" t="s">
        <v>275</v>
      </c>
      <c r="AH178" s="141">
        <v>1</v>
      </c>
      <c r="AI178" s="141" t="s">
        <v>8</v>
      </c>
      <c r="AJ178" s="144">
        <f>AH178*'Daftar HPP'!$G$34</f>
        <v>500</v>
      </c>
    </row>
    <row r="179" spans="2:36" x14ac:dyDescent="0.45">
      <c r="B179" s="141">
        <v>7</v>
      </c>
      <c r="C179" s="142" t="s">
        <v>251</v>
      </c>
      <c r="D179" s="141">
        <v>1</v>
      </c>
      <c r="E179" s="141" t="s">
        <v>28</v>
      </c>
      <c r="F179" s="144">
        <f>D179*'Daftar HPP'!$G$39</f>
        <v>1100</v>
      </c>
      <c r="H179" s="141">
        <v>7</v>
      </c>
      <c r="I179" s="142" t="s">
        <v>251</v>
      </c>
      <c r="J179" s="141">
        <v>1</v>
      </c>
      <c r="K179" s="141" t="s">
        <v>28</v>
      </c>
      <c r="L179" s="144">
        <f>J179*'Daftar HPP'!$G$39</f>
        <v>1100</v>
      </c>
      <c r="N179" s="141">
        <v>7</v>
      </c>
      <c r="O179" s="142" t="s">
        <v>251</v>
      </c>
      <c r="P179" s="141">
        <v>1</v>
      </c>
      <c r="Q179" s="141" t="s">
        <v>28</v>
      </c>
      <c r="R179" s="144">
        <f>P179*'Daftar HPP'!$G$39</f>
        <v>1100</v>
      </c>
      <c r="T179" s="141">
        <v>7</v>
      </c>
      <c r="U179" s="142" t="s">
        <v>251</v>
      </c>
      <c r="V179" s="141">
        <v>1</v>
      </c>
      <c r="W179" s="141" t="s">
        <v>28</v>
      </c>
      <c r="X179" s="144">
        <f>V179*'Daftar HPP'!$G$39</f>
        <v>1100</v>
      </c>
      <c r="Z179" s="141">
        <v>7</v>
      </c>
      <c r="AA179" s="142" t="s">
        <v>251</v>
      </c>
      <c r="AB179" s="141">
        <v>1</v>
      </c>
      <c r="AC179" s="141" t="s">
        <v>28</v>
      </c>
      <c r="AD179" s="144">
        <f>AB179*'Daftar HPP'!$G$39</f>
        <v>1100</v>
      </c>
      <c r="AF179" s="141">
        <v>7</v>
      </c>
      <c r="AG179" s="142" t="s">
        <v>251</v>
      </c>
      <c r="AH179" s="141">
        <v>1</v>
      </c>
      <c r="AI179" s="141" t="s">
        <v>28</v>
      </c>
      <c r="AJ179" s="144">
        <f>AH179*'Daftar HPP'!$G$39</f>
        <v>1100</v>
      </c>
    </row>
    <row r="180" spans="2:36" x14ac:dyDescent="0.45">
      <c r="B180" s="153"/>
      <c r="C180" s="150"/>
      <c r="D180" s="261" t="s">
        <v>53</v>
      </c>
      <c r="E180" s="261"/>
      <c r="F180" s="190">
        <f>SUM(F173:F179)</f>
        <v>13646.183675016946</v>
      </c>
      <c r="H180" s="153"/>
      <c r="I180" s="150"/>
      <c r="J180" s="261" t="s">
        <v>53</v>
      </c>
      <c r="K180" s="261"/>
      <c r="L180" s="190">
        <f>SUM(L173:L179)</f>
        <v>13544.978799870491</v>
      </c>
      <c r="N180" s="153"/>
      <c r="O180" s="150"/>
      <c r="P180" s="261" t="s">
        <v>53</v>
      </c>
      <c r="Q180" s="261"/>
      <c r="R180" s="190">
        <f>SUM(R173:R179)</f>
        <v>13199.631287140959</v>
      </c>
      <c r="T180" s="153"/>
      <c r="U180" s="150"/>
      <c r="V180" s="261" t="s">
        <v>53</v>
      </c>
      <c r="W180" s="261"/>
      <c r="X180" s="190">
        <f>SUM(X173:X179)</f>
        <v>20252.058794634169</v>
      </c>
      <c r="Z180" s="153"/>
      <c r="AA180" s="150"/>
      <c r="AB180" s="261" t="s">
        <v>53</v>
      </c>
      <c r="AC180" s="261"/>
      <c r="AD180" s="190">
        <f>SUM(AD173:AD179)</f>
        <v>20150.853919487716</v>
      </c>
      <c r="AF180" s="153"/>
      <c r="AG180" s="150"/>
      <c r="AH180" s="261" t="s">
        <v>53</v>
      </c>
      <c r="AI180" s="261"/>
      <c r="AJ180" s="190">
        <f>SUM(AJ173:AJ179)</f>
        <v>19805.506406758188</v>
      </c>
    </row>
    <row r="181" spans="2:36" x14ac:dyDescent="0.45">
      <c r="B181" s="153"/>
      <c r="C181" s="153"/>
      <c r="D181" s="256" t="s">
        <v>116</v>
      </c>
      <c r="E181" s="256"/>
      <c r="F181" s="147">
        <v>26000</v>
      </c>
      <c r="H181" s="153"/>
      <c r="I181" s="153"/>
      <c r="J181" s="256" t="s">
        <v>116</v>
      </c>
      <c r="K181" s="256"/>
      <c r="L181" s="147">
        <v>26000</v>
      </c>
      <c r="N181" s="153"/>
      <c r="O181" s="153"/>
      <c r="P181" s="256" t="s">
        <v>116</v>
      </c>
      <c r="Q181" s="256"/>
      <c r="R181" s="147">
        <v>26000</v>
      </c>
      <c r="T181" s="153"/>
      <c r="U181" s="153"/>
      <c r="V181" s="256" t="s">
        <v>116</v>
      </c>
      <c r="W181" s="256"/>
      <c r="X181" s="147">
        <v>38000</v>
      </c>
      <c r="Z181" s="153"/>
      <c r="AA181" s="153"/>
      <c r="AB181" s="256" t="s">
        <v>116</v>
      </c>
      <c r="AC181" s="256"/>
      <c r="AD181" s="147">
        <v>38000</v>
      </c>
      <c r="AF181" s="153"/>
      <c r="AG181" s="153"/>
      <c r="AH181" s="256" t="s">
        <v>116</v>
      </c>
      <c r="AI181" s="256"/>
      <c r="AJ181" s="147">
        <v>38000</v>
      </c>
    </row>
    <row r="182" spans="2:36" x14ac:dyDescent="0.45">
      <c r="B182" s="153"/>
      <c r="C182" s="153"/>
      <c r="D182" s="256" t="s">
        <v>119</v>
      </c>
      <c r="E182" s="256"/>
      <c r="F182" s="148">
        <f>F181-F180</f>
        <v>12353.816324983054</v>
      </c>
      <c r="H182" s="153"/>
      <c r="I182" s="153"/>
      <c r="J182" s="256" t="s">
        <v>119</v>
      </c>
      <c r="K182" s="256"/>
      <c r="L182" s="148">
        <f>L181-L180</f>
        <v>12455.021200129509</v>
      </c>
      <c r="N182" s="153"/>
      <c r="O182" s="153"/>
      <c r="P182" s="256" t="s">
        <v>119</v>
      </c>
      <c r="Q182" s="256"/>
      <c r="R182" s="148">
        <f>R181-R180</f>
        <v>12800.368712859041</v>
      </c>
      <c r="T182" s="153"/>
      <c r="U182" s="153"/>
      <c r="V182" s="256" t="s">
        <v>119</v>
      </c>
      <c r="W182" s="256"/>
      <c r="X182" s="148">
        <f>X181-X180</f>
        <v>17747.941205365831</v>
      </c>
      <c r="Z182" s="153"/>
      <c r="AA182" s="153"/>
      <c r="AB182" s="256" t="s">
        <v>119</v>
      </c>
      <c r="AC182" s="256"/>
      <c r="AD182" s="148">
        <f>AD181-AD180</f>
        <v>17849.146080512284</v>
      </c>
      <c r="AF182" s="153"/>
      <c r="AG182" s="153"/>
      <c r="AH182" s="256" t="s">
        <v>119</v>
      </c>
      <c r="AI182" s="256"/>
      <c r="AJ182" s="148">
        <f>AJ181-AJ180</f>
        <v>18194.493593241812</v>
      </c>
    </row>
    <row r="183" spans="2:36" x14ac:dyDescent="0.45">
      <c r="Z183" s="153"/>
      <c r="AA183" s="153"/>
      <c r="AB183" s="206"/>
      <c r="AC183" s="206"/>
      <c r="AD183" s="157"/>
    </row>
    <row r="184" spans="2:36" ht="14.65" thickBot="1" x14ac:dyDescent="0.5">
      <c r="B184" s="2" t="s">
        <v>257</v>
      </c>
      <c r="H184" s="2" t="s">
        <v>261</v>
      </c>
      <c r="T184" s="2" t="s">
        <v>257</v>
      </c>
      <c r="Z184" s="2" t="s">
        <v>261</v>
      </c>
    </row>
    <row r="185" spans="2:36" x14ac:dyDescent="0.45">
      <c r="B185" s="119" t="s">
        <v>0</v>
      </c>
      <c r="C185" s="119" t="s">
        <v>49</v>
      </c>
      <c r="D185" s="119" t="s">
        <v>34</v>
      </c>
      <c r="E185" s="119" t="s">
        <v>50</v>
      </c>
      <c r="F185" s="119" t="s">
        <v>36</v>
      </c>
      <c r="H185" s="119" t="s">
        <v>0</v>
      </c>
      <c r="I185" s="119" t="s">
        <v>49</v>
      </c>
      <c r="J185" s="119" t="s">
        <v>34</v>
      </c>
      <c r="K185" s="119" t="s">
        <v>50</v>
      </c>
      <c r="L185" s="119" t="s">
        <v>36</v>
      </c>
      <c r="T185" s="119" t="s">
        <v>0</v>
      </c>
      <c r="U185" s="119" t="s">
        <v>49</v>
      </c>
      <c r="V185" s="119" t="s">
        <v>34</v>
      </c>
      <c r="W185" s="119" t="s">
        <v>50</v>
      </c>
      <c r="X185" s="119" t="s">
        <v>36</v>
      </c>
      <c r="Z185" s="119" t="s">
        <v>0</v>
      </c>
      <c r="AA185" s="119" t="s">
        <v>49</v>
      </c>
      <c r="AB185" s="119" t="s">
        <v>34</v>
      </c>
      <c r="AC185" s="119" t="s">
        <v>50</v>
      </c>
      <c r="AD185" s="119" t="s">
        <v>36</v>
      </c>
    </row>
    <row r="186" spans="2:36" x14ac:dyDescent="0.45">
      <c r="B186" s="141">
        <v>1</v>
      </c>
      <c r="C186" s="142" t="s">
        <v>112</v>
      </c>
      <c r="D186" s="141">
        <v>1</v>
      </c>
      <c r="E186" s="141" t="s">
        <v>6</v>
      </c>
      <c r="F186" s="143">
        <f>D186*'Daftar HPP'!$L$57</f>
        <v>4875.7315789473687</v>
      </c>
      <c r="H186" s="141">
        <v>1</v>
      </c>
      <c r="I186" s="142" t="s">
        <v>112</v>
      </c>
      <c r="J186" s="141">
        <v>1</v>
      </c>
      <c r="K186" s="141" t="s">
        <v>6</v>
      </c>
      <c r="L186" s="143">
        <f>J186*'Daftar HPP'!$L$57</f>
        <v>4875.7315789473687</v>
      </c>
      <c r="T186" s="141">
        <v>1</v>
      </c>
      <c r="U186" s="142" t="s">
        <v>112</v>
      </c>
      <c r="V186" s="141">
        <v>2</v>
      </c>
      <c r="W186" s="141" t="s">
        <v>6</v>
      </c>
      <c r="X186" s="143">
        <f>V186*'Daftar HPP'!$L$57</f>
        <v>9751.4631578947374</v>
      </c>
      <c r="Z186" s="141">
        <v>1</v>
      </c>
      <c r="AA186" s="142" t="s">
        <v>112</v>
      </c>
      <c r="AB186" s="141">
        <v>2</v>
      </c>
      <c r="AC186" s="141" t="s">
        <v>6</v>
      </c>
      <c r="AD186" s="143">
        <f>AB186*'Daftar HPP'!$L$57</f>
        <v>9751.4631578947374</v>
      </c>
    </row>
    <row r="187" spans="2:36" x14ac:dyDescent="0.45">
      <c r="B187" s="141">
        <v>2</v>
      </c>
      <c r="C187" s="142" t="s">
        <v>21</v>
      </c>
      <c r="D187" s="141">
        <v>40</v>
      </c>
      <c r="E187" s="141" t="s">
        <v>8</v>
      </c>
      <c r="F187" s="143">
        <f>D187*'Daftar HPP'!$F$131</f>
        <v>1730.1435406698565</v>
      </c>
      <c r="H187" s="141">
        <v>2</v>
      </c>
      <c r="I187" s="142" t="s">
        <v>21</v>
      </c>
      <c r="J187" s="141">
        <v>40</v>
      </c>
      <c r="K187" s="141" t="s">
        <v>8</v>
      </c>
      <c r="L187" s="143">
        <f>J187*'Daftar HPP'!$F$131</f>
        <v>1730.1435406698565</v>
      </c>
      <c r="T187" s="141">
        <v>2</v>
      </c>
      <c r="U187" s="142" t="s">
        <v>21</v>
      </c>
      <c r="V187" s="141">
        <v>80</v>
      </c>
      <c r="W187" s="141" t="s">
        <v>8</v>
      </c>
      <c r="X187" s="143">
        <f>V187*'Daftar HPP'!$F$131</f>
        <v>3460.287081339713</v>
      </c>
      <c r="Z187" s="141">
        <v>2</v>
      </c>
      <c r="AA187" s="142" t="s">
        <v>21</v>
      </c>
      <c r="AB187" s="141">
        <v>80</v>
      </c>
      <c r="AC187" s="141" t="s">
        <v>8</v>
      </c>
      <c r="AD187" s="143">
        <f>AB187*'Daftar HPP'!$F$131</f>
        <v>3460.287081339713</v>
      </c>
    </row>
    <row r="188" spans="2:36" x14ac:dyDescent="0.45">
      <c r="B188" s="141">
        <v>3</v>
      </c>
      <c r="C188" s="142" t="s">
        <v>271</v>
      </c>
      <c r="D188" s="141">
        <v>1</v>
      </c>
      <c r="E188" s="141" t="s">
        <v>118</v>
      </c>
      <c r="F188" s="143">
        <f>D188*'Daftar HPP'!$G$13</f>
        <v>1200</v>
      </c>
      <c r="H188" s="141">
        <v>3</v>
      </c>
      <c r="I188" s="142" t="s">
        <v>271</v>
      </c>
      <c r="J188" s="141">
        <v>1</v>
      </c>
      <c r="K188" s="141" t="s">
        <v>118</v>
      </c>
      <c r="L188" s="143">
        <f>J188*'Daftar HPP'!$G$13</f>
        <v>1200</v>
      </c>
      <c r="T188" s="141">
        <v>3</v>
      </c>
      <c r="U188" s="142" t="s">
        <v>271</v>
      </c>
      <c r="V188" s="141">
        <v>1</v>
      </c>
      <c r="W188" s="141" t="s">
        <v>118</v>
      </c>
      <c r="X188" s="143">
        <f>V188*'Daftar HPP'!$G$13</f>
        <v>1200</v>
      </c>
      <c r="Z188" s="141">
        <v>3</v>
      </c>
      <c r="AA188" s="142" t="s">
        <v>271</v>
      </c>
      <c r="AB188" s="141">
        <v>1</v>
      </c>
      <c r="AC188" s="141" t="s">
        <v>118</v>
      </c>
      <c r="AD188" s="143">
        <f>AB188*'Daftar HPP'!$G$13</f>
        <v>1200</v>
      </c>
    </row>
    <row r="189" spans="2:36" x14ac:dyDescent="0.45">
      <c r="B189" s="141">
        <v>4</v>
      </c>
      <c r="C189" s="142" t="s">
        <v>17</v>
      </c>
      <c r="D189" s="141">
        <v>30</v>
      </c>
      <c r="E189" s="141" t="s">
        <v>8</v>
      </c>
      <c r="F189" s="144">
        <f>D189*'Daftar HPP'!$F$152</f>
        <v>2093.9588100686497</v>
      </c>
      <c r="H189" s="141">
        <v>4</v>
      </c>
      <c r="I189" s="142" t="s">
        <v>25</v>
      </c>
      <c r="J189" s="141">
        <v>30</v>
      </c>
      <c r="K189" s="141" t="s">
        <v>8</v>
      </c>
      <c r="L189" s="144">
        <f>J189*'Daftar HPP'!$G$22</f>
        <v>1995</v>
      </c>
      <c r="T189" s="141">
        <v>4</v>
      </c>
      <c r="U189" s="142" t="s">
        <v>17</v>
      </c>
      <c r="V189" s="141">
        <v>30</v>
      </c>
      <c r="W189" s="141" t="s">
        <v>8</v>
      </c>
      <c r="X189" s="144">
        <f>V189*'Daftar HPP'!$F$152</f>
        <v>2093.9588100686497</v>
      </c>
      <c r="Z189" s="141">
        <v>4</v>
      </c>
      <c r="AA189" s="142" t="s">
        <v>25</v>
      </c>
      <c r="AB189" s="141">
        <v>30</v>
      </c>
      <c r="AC189" s="141" t="s">
        <v>8</v>
      </c>
      <c r="AD189" s="144">
        <f>AB189*'Daftar HPP'!$G$22</f>
        <v>1995</v>
      </c>
    </row>
    <row r="190" spans="2:36" x14ac:dyDescent="0.45">
      <c r="B190" s="141">
        <v>5</v>
      </c>
      <c r="C190" s="142" t="s">
        <v>107</v>
      </c>
      <c r="D190" s="141">
        <v>30</v>
      </c>
      <c r="E190" s="141" t="s">
        <v>8</v>
      </c>
      <c r="F190" s="144">
        <f>D190*'Daftar HPP'!$L$152</f>
        <v>2144.1036802532649</v>
      </c>
      <c r="H190" s="141">
        <v>5</v>
      </c>
      <c r="I190" s="142" t="s">
        <v>26</v>
      </c>
      <c r="J190" s="141">
        <v>30</v>
      </c>
      <c r="K190" s="141" t="s">
        <v>8</v>
      </c>
      <c r="L190" s="144">
        <f>J190*'Daftar HPP'!$L$143</f>
        <v>1647.4064221926658</v>
      </c>
      <c r="T190" s="141">
        <v>5</v>
      </c>
      <c r="U190" s="142" t="s">
        <v>107</v>
      </c>
      <c r="V190" s="141">
        <v>30</v>
      </c>
      <c r="W190" s="141" t="s">
        <v>8</v>
      </c>
      <c r="X190" s="144">
        <f>V190*'Daftar HPP'!$L$152</f>
        <v>2144.1036802532649</v>
      </c>
      <c r="Z190" s="141">
        <v>5</v>
      </c>
      <c r="AA190" s="142" t="s">
        <v>26</v>
      </c>
      <c r="AB190" s="141">
        <v>30</v>
      </c>
      <c r="AC190" s="141" t="s">
        <v>8</v>
      </c>
      <c r="AD190" s="144">
        <f>AB190*'Daftar HPP'!$L$143</f>
        <v>1647.4064221926658</v>
      </c>
    </row>
    <row r="191" spans="2:36" x14ac:dyDescent="0.45">
      <c r="B191" s="141">
        <v>6</v>
      </c>
      <c r="C191" s="142" t="s">
        <v>275</v>
      </c>
      <c r="D191" s="141">
        <v>1</v>
      </c>
      <c r="E191" s="141" t="s">
        <v>8</v>
      </c>
      <c r="F191" s="144">
        <f>D191*'Daftar HPP'!$G$34</f>
        <v>500</v>
      </c>
      <c r="H191" s="141">
        <v>6</v>
      </c>
      <c r="I191" s="142" t="s">
        <v>275</v>
      </c>
      <c r="J191" s="141">
        <v>1</v>
      </c>
      <c r="K191" s="141" t="s">
        <v>8</v>
      </c>
      <c r="L191" s="144">
        <f>J191*'Daftar HPP'!$G$34</f>
        <v>500</v>
      </c>
      <c r="T191" s="141">
        <v>6</v>
      </c>
      <c r="U191" s="142" t="s">
        <v>275</v>
      </c>
      <c r="V191" s="141">
        <v>1</v>
      </c>
      <c r="W191" s="141" t="s">
        <v>8</v>
      </c>
      <c r="X191" s="144">
        <f>V191*'Daftar HPP'!$G$34</f>
        <v>500</v>
      </c>
      <c r="Z191" s="141">
        <v>6</v>
      </c>
      <c r="AA191" s="142" t="s">
        <v>275</v>
      </c>
      <c r="AB191" s="141">
        <v>1</v>
      </c>
      <c r="AC191" s="141" t="s">
        <v>8</v>
      </c>
      <c r="AD191" s="144">
        <f>AB191*'Daftar HPP'!$G$34</f>
        <v>500</v>
      </c>
    </row>
    <row r="192" spans="2:36" x14ac:dyDescent="0.45">
      <c r="B192" s="141">
        <v>7</v>
      </c>
      <c r="C192" s="142" t="s">
        <v>251</v>
      </c>
      <c r="D192" s="141">
        <v>1</v>
      </c>
      <c r="E192" s="141" t="s">
        <v>28</v>
      </c>
      <c r="F192" s="144">
        <f>D192*'Daftar HPP'!$G$39</f>
        <v>1100</v>
      </c>
      <c r="H192" s="141">
        <v>7</v>
      </c>
      <c r="I192" s="142" t="s">
        <v>251</v>
      </c>
      <c r="J192" s="141">
        <v>1</v>
      </c>
      <c r="K192" s="141" t="s">
        <v>28</v>
      </c>
      <c r="L192" s="144">
        <f>J192*'Daftar HPP'!$G$39</f>
        <v>1100</v>
      </c>
      <c r="T192" s="141">
        <v>7</v>
      </c>
      <c r="U192" s="142" t="s">
        <v>251</v>
      </c>
      <c r="V192" s="141">
        <v>1</v>
      </c>
      <c r="W192" s="141" t="s">
        <v>28</v>
      </c>
      <c r="X192" s="144">
        <f>V192*'Daftar HPP'!$G$39</f>
        <v>1100</v>
      </c>
      <c r="Z192" s="141">
        <v>7</v>
      </c>
      <c r="AA192" s="142" t="s">
        <v>251</v>
      </c>
      <c r="AB192" s="141">
        <v>1</v>
      </c>
      <c r="AC192" s="141" t="s">
        <v>28</v>
      </c>
      <c r="AD192" s="144">
        <f>AB192*'Daftar HPP'!$G$39</f>
        <v>1100</v>
      </c>
    </row>
    <row r="193" spans="2:36" x14ac:dyDescent="0.45">
      <c r="B193" s="153"/>
      <c r="C193" s="150"/>
      <c r="D193" s="261" t="s">
        <v>53</v>
      </c>
      <c r="E193" s="261"/>
      <c r="F193" s="190">
        <f>SUM(F186:F192)</f>
        <v>13643.937609939141</v>
      </c>
      <c r="H193" s="153"/>
      <c r="I193" s="150"/>
      <c r="J193" s="257" t="s">
        <v>53</v>
      </c>
      <c r="K193" s="258"/>
      <c r="L193" s="190">
        <f>SUM(L186:L192)</f>
        <v>13048.281541809891</v>
      </c>
      <c r="T193" s="153"/>
      <c r="U193" s="150"/>
      <c r="V193" s="261" t="s">
        <v>53</v>
      </c>
      <c r="W193" s="261"/>
      <c r="X193" s="190">
        <f>SUM(X186:X192)</f>
        <v>20249.812729556365</v>
      </c>
      <c r="Z193" s="153"/>
      <c r="AA193" s="150"/>
      <c r="AB193" s="257" t="s">
        <v>53</v>
      </c>
      <c r="AC193" s="258"/>
      <c r="AD193" s="190">
        <f>SUM(AD186:AD192)</f>
        <v>19654.156661427118</v>
      </c>
    </row>
    <row r="194" spans="2:36" x14ac:dyDescent="0.45">
      <c r="B194" s="153"/>
      <c r="C194" s="153"/>
      <c r="D194" s="256" t="s">
        <v>116</v>
      </c>
      <c r="E194" s="256"/>
      <c r="F194" s="147">
        <v>26000</v>
      </c>
      <c r="H194" s="153"/>
      <c r="I194" s="153"/>
      <c r="J194" s="251" t="s">
        <v>116</v>
      </c>
      <c r="K194" s="252"/>
      <c r="L194" s="147">
        <v>26000</v>
      </c>
      <c r="T194" s="153"/>
      <c r="U194" s="153"/>
      <c r="V194" s="256" t="s">
        <v>116</v>
      </c>
      <c r="W194" s="256"/>
      <c r="X194" s="147">
        <v>38000</v>
      </c>
      <c r="Z194" s="153"/>
      <c r="AA194" s="153"/>
      <c r="AB194" s="251" t="s">
        <v>116</v>
      </c>
      <c r="AC194" s="252"/>
      <c r="AD194" s="147">
        <v>38000</v>
      </c>
    </row>
    <row r="195" spans="2:36" x14ac:dyDescent="0.45">
      <c r="B195" s="153"/>
      <c r="C195" s="153"/>
      <c r="D195" s="256" t="s">
        <v>119</v>
      </c>
      <c r="E195" s="256"/>
      <c r="F195" s="148">
        <f>F194-F193</f>
        <v>12356.062390060859</v>
      </c>
      <c r="H195" s="153"/>
      <c r="I195" s="153"/>
      <c r="J195" s="256" t="s">
        <v>119</v>
      </c>
      <c r="K195" s="256"/>
      <c r="L195" s="148">
        <f>L194-L193</f>
        <v>12951.718458190109</v>
      </c>
      <c r="T195" s="153"/>
      <c r="U195" s="153"/>
      <c r="V195" s="256" t="s">
        <v>119</v>
      </c>
      <c r="W195" s="256"/>
      <c r="X195" s="148">
        <f>X194-X193</f>
        <v>17750.187270443635</v>
      </c>
      <c r="Z195" s="153"/>
      <c r="AA195" s="153"/>
      <c r="AB195" s="256" t="s">
        <v>119</v>
      </c>
      <c r="AC195" s="256"/>
      <c r="AD195" s="148">
        <f>AD194-AD193</f>
        <v>18345.843338572882</v>
      </c>
    </row>
    <row r="196" spans="2:36" x14ac:dyDescent="0.45">
      <c r="B196" s="153"/>
      <c r="C196" s="153"/>
      <c r="D196" s="206"/>
      <c r="E196" s="206"/>
      <c r="F196" s="157"/>
      <c r="N196" s="153"/>
      <c r="O196" s="153"/>
      <c r="P196" s="206"/>
      <c r="Q196" s="206"/>
      <c r="R196" s="157"/>
      <c r="T196" s="153"/>
      <c r="U196" s="153"/>
      <c r="V196" s="206"/>
      <c r="W196" s="206"/>
      <c r="X196" s="157"/>
      <c r="AF196" s="153"/>
      <c r="AG196" s="153"/>
      <c r="AH196" s="206"/>
      <c r="AI196" s="206"/>
      <c r="AJ196" s="157"/>
    </row>
    <row r="197" spans="2:36" ht="14.65" thickBot="1" x14ac:dyDescent="0.5">
      <c r="B197" s="2" t="s">
        <v>258</v>
      </c>
      <c r="H197" s="2" t="s">
        <v>262</v>
      </c>
      <c r="N197" s="153"/>
      <c r="O197" s="153"/>
      <c r="P197" s="206"/>
      <c r="Q197" s="206"/>
      <c r="R197" s="157"/>
      <c r="T197" s="2" t="s">
        <v>258</v>
      </c>
      <c r="Z197" s="2" t="s">
        <v>262</v>
      </c>
      <c r="AF197" s="153"/>
      <c r="AG197" s="153"/>
      <c r="AH197" s="206"/>
      <c r="AI197" s="206"/>
      <c r="AJ197" s="157"/>
    </row>
    <row r="198" spans="2:36" x14ac:dyDescent="0.45">
      <c r="B198" s="119" t="s">
        <v>0</v>
      </c>
      <c r="C198" s="119" t="s">
        <v>49</v>
      </c>
      <c r="D198" s="119" t="s">
        <v>34</v>
      </c>
      <c r="E198" s="119" t="s">
        <v>50</v>
      </c>
      <c r="F198" s="119" t="s">
        <v>36</v>
      </c>
      <c r="H198" s="119" t="s">
        <v>0</v>
      </c>
      <c r="I198" s="119" t="s">
        <v>49</v>
      </c>
      <c r="J198" s="119" t="s">
        <v>34</v>
      </c>
      <c r="K198" s="119" t="s">
        <v>50</v>
      </c>
      <c r="L198" s="119" t="s">
        <v>36</v>
      </c>
      <c r="N198" s="153"/>
      <c r="O198" s="153"/>
      <c r="P198" s="206"/>
      <c r="Q198" s="206"/>
      <c r="R198" s="157"/>
      <c r="T198" s="119" t="s">
        <v>0</v>
      </c>
      <c r="U198" s="119" t="s">
        <v>49</v>
      </c>
      <c r="V198" s="119" t="s">
        <v>34</v>
      </c>
      <c r="W198" s="119" t="s">
        <v>50</v>
      </c>
      <c r="X198" s="119" t="s">
        <v>36</v>
      </c>
      <c r="Z198" s="119" t="s">
        <v>0</v>
      </c>
      <c r="AA198" s="119" t="s">
        <v>49</v>
      </c>
      <c r="AB198" s="119" t="s">
        <v>34</v>
      </c>
      <c r="AC198" s="119" t="s">
        <v>50</v>
      </c>
      <c r="AD198" s="119" t="s">
        <v>36</v>
      </c>
      <c r="AF198" s="153"/>
      <c r="AG198" s="153"/>
      <c r="AH198" s="206"/>
      <c r="AI198" s="206"/>
      <c r="AJ198" s="157"/>
    </row>
    <row r="199" spans="2:36" x14ac:dyDescent="0.45">
      <c r="B199" s="141">
        <v>1</v>
      </c>
      <c r="C199" s="142" t="s">
        <v>112</v>
      </c>
      <c r="D199" s="141">
        <v>1</v>
      </c>
      <c r="E199" s="141" t="s">
        <v>6</v>
      </c>
      <c r="F199" s="143">
        <f>D199*'Daftar HPP'!$L$57</f>
        <v>4875.7315789473687</v>
      </c>
      <c r="H199" s="141">
        <v>1</v>
      </c>
      <c r="I199" s="142" t="s">
        <v>112</v>
      </c>
      <c r="J199" s="141">
        <v>1</v>
      </c>
      <c r="K199" s="141" t="s">
        <v>6</v>
      </c>
      <c r="L199" s="143">
        <f>J199*'Daftar HPP'!$L$57</f>
        <v>4875.7315789473687</v>
      </c>
      <c r="N199" s="153"/>
      <c r="O199" s="153"/>
      <c r="P199" s="206"/>
      <c r="Q199" s="206"/>
      <c r="R199" s="157"/>
      <c r="T199" s="141">
        <v>1</v>
      </c>
      <c r="U199" s="142" t="s">
        <v>112</v>
      </c>
      <c r="V199" s="141">
        <v>2</v>
      </c>
      <c r="W199" s="141" t="s">
        <v>6</v>
      </c>
      <c r="X199" s="143">
        <f>V199*'Daftar HPP'!$L$57</f>
        <v>9751.4631578947374</v>
      </c>
      <c r="Z199" s="141">
        <v>1</v>
      </c>
      <c r="AA199" s="142" t="s">
        <v>112</v>
      </c>
      <c r="AB199" s="141">
        <v>2</v>
      </c>
      <c r="AC199" s="141" t="s">
        <v>6</v>
      </c>
      <c r="AD199" s="143">
        <f>AB199*'Daftar HPP'!$L$57</f>
        <v>9751.4631578947374</v>
      </c>
      <c r="AF199" s="153"/>
      <c r="AG199" s="153"/>
      <c r="AH199" s="206"/>
      <c r="AI199" s="206"/>
      <c r="AJ199" s="157"/>
    </row>
    <row r="200" spans="2:36" x14ac:dyDescent="0.45">
      <c r="B200" s="141">
        <v>2</v>
      </c>
      <c r="C200" s="142" t="s">
        <v>21</v>
      </c>
      <c r="D200" s="141">
        <v>40</v>
      </c>
      <c r="E200" s="141" t="s">
        <v>8</v>
      </c>
      <c r="F200" s="143">
        <f>D200*'Daftar HPP'!$F$131</f>
        <v>1730.1435406698565</v>
      </c>
      <c r="H200" s="141">
        <v>2</v>
      </c>
      <c r="I200" s="142" t="s">
        <v>21</v>
      </c>
      <c r="J200" s="141">
        <v>40</v>
      </c>
      <c r="K200" s="141" t="s">
        <v>8</v>
      </c>
      <c r="L200" s="143">
        <f>J200*'Daftar HPP'!$F$131</f>
        <v>1730.1435406698565</v>
      </c>
      <c r="N200" s="153"/>
      <c r="O200" s="153"/>
      <c r="P200" s="206"/>
      <c r="Q200" s="206"/>
      <c r="R200" s="157"/>
      <c r="T200" s="141">
        <v>2</v>
      </c>
      <c r="U200" s="142" t="s">
        <v>21</v>
      </c>
      <c r="V200" s="141">
        <v>80</v>
      </c>
      <c r="W200" s="141" t="s">
        <v>8</v>
      </c>
      <c r="X200" s="143">
        <f>V200*'Daftar HPP'!$F$131</f>
        <v>3460.287081339713</v>
      </c>
      <c r="Z200" s="141">
        <v>2</v>
      </c>
      <c r="AA200" s="142" t="s">
        <v>21</v>
      </c>
      <c r="AB200" s="141">
        <v>80</v>
      </c>
      <c r="AC200" s="141" t="s">
        <v>8</v>
      </c>
      <c r="AD200" s="143">
        <f>AB200*'Daftar HPP'!$F$131</f>
        <v>3460.287081339713</v>
      </c>
      <c r="AF200" s="153"/>
      <c r="AG200" s="153"/>
      <c r="AH200" s="206"/>
      <c r="AI200" s="206"/>
      <c r="AJ200" s="157"/>
    </row>
    <row r="201" spans="2:36" x14ac:dyDescent="0.45">
      <c r="B201" s="141">
        <v>3</v>
      </c>
      <c r="C201" s="142" t="s">
        <v>271</v>
      </c>
      <c r="D201" s="141">
        <v>1</v>
      </c>
      <c r="E201" s="141" t="s">
        <v>118</v>
      </c>
      <c r="F201" s="143">
        <f>D201*'Daftar HPP'!$G$13</f>
        <v>1200</v>
      </c>
      <c r="H201" s="141">
        <v>3</v>
      </c>
      <c r="I201" s="142" t="s">
        <v>271</v>
      </c>
      <c r="J201" s="141">
        <v>1</v>
      </c>
      <c r="K201" s="141" t="s">
        <v>118</v>
      </c>
      <c r="L201" s="143">
        <f>J201*'Daftar HPP'!$G$13</f>
        <v>1200</v>
      </c>
      <c r="N201" s="153"/>
      <c r="O201" s="153"/>
      <c r="P201" s="206"/>
      <c r="Q201" s="206"/>
      <c r="R201" s="157"/>
      <c r="T201" s="141">
        <v>3</v>
      </c>
      <c r="U201" s="142" t="s">
        <v>271</v>
      </c>
      <c r="V201" s="141">
        <v>1</v>
      </c>
      <c r="W201" s="141" t="s">
        <v>118</v>
      </c>
      <c r="X201" s="143">
        <f>V201*'Daftar HPP'!$G$13</f>
        <v>1200</v>
      </c>
      <c r="Z201" s="141">
        <v>3</v>
      </c>
      <c r="AA201" s="142" t="s">
        <v>271</v>
      </c>
      <c r="AB201" s="141">
        <v>1</v>
      </c>
      <c r="AC201" s="141" t="s">
        <v>118</v>
      </c>
      <c r="AD201" s="143">
        <f>AB201*'Daftar HPP'!$G$13</f>
        <v>1200</v>
      </c>
      <c r="AF201" s="153"/>
      <c r="AG201" s="153"/>
      <c r="AH201" s="206"/>
      <c r="AI201" s="206"/>
      <c r="AJ201" s="157"/>
    </row>
    <row r="202" spans="2:36" x14ac:dyDescent="0.45">
      <c r="B202" s="141">
        <v>4</v>
      </c>
      <c r="C202" s="142" t="s">
        <v>17</v>
      </c>
      <c r="D202" s="141">
        <v>30</v>
      </c>
      <c r="E202" s="141" t="s">
        <v>8</v>
      </c>
      <c r="F202" s="144">
        <f>D202*'Daftar HPP'!$F$152</f>
        <v>2093.9588100686497</v>
      </c>
      <c r="H202" s="141">
        <v>4</v>
      </c>
      <c r="I202" s="142" t="s">
        <v>107</v>
      </c>
      <c r="J202" s="141">
        <v>30</v>
      </c>
      <c r="K202" s="141" t="s">
        <v>8</v>
      </c>
      <c r="L202" s="144">
        <f>J202*'Daftar HPP'!$L$152</f>
        <v>2144.1036802532649</v>
      </c>
      <c r="N202" s="153"/>
      <c r="O202" s="153"/>
      <c r="P202" s="206"/>
      <c r="Q202" s="206"/>
      <c r="R202" s="157"/>
      <c r="T202" s="141">
        <v>4</v>
      </c>
      <c r="U202" s="142" t="s">
        <v>17</v>
      </c>
      <c r="V202" s="141">
        <v>30</v>
      </c>
      <c r="W202" s="141" t="s">
        <v>8</v>
      </c>
      <c r="X202" s="144">
        <f>V202*'Daftar HPP'!$F$152</f>
        <v>2093.9588100686497</v>
      </c>
      <c r="Z202" s="141">
        <v>4</v>
      </c>
      <c r="AA202" s="142" t="s">
        <v>107</v>
      </c>
      <c r="AB202" s="141">
        <v>30</v>
      </c>
      <c r="AC202" s="141" t="s">
        <v>8</v>
      </c>
      <c r="AD202" s="144">
        <f>AB202*'Daftar HPP'!$L$152</f>
        <v>2144.1036802532649</v>
      </c>
      <c r="AF202" s="153"/>
      <c r="AG202" s="153"/>
      <c r="AH202" s="206"/>
      <c r="AI202" s="206"/>
      <c r="AJ202" s="157"/>
    </row>
    <row r="203" spans="2:36" x14ac:dyDescent="0.45">
      <c r="B203" s="141">
        <v>5</v>
      </c>
      <c r="C203" s="142" t="s">
        <v>26</v>
      </c>
      <c r="D203" s="141">
        <v>30</v>
      </c>
      <c r="E203" s="141" t="s">
        <v>8</v>
      </c>
      <c r="F203" s="144">
        <f>D203*'Daftar HPP'!$L$143</f>
        <v>1647.4064221926658</v>
      </c>
      <c r="H203" s="141">
        <v>5</v>
      </c>
      <c r="I203" s="142" t="s">
        <v>105</v>
      </c>
      <c r="J203" s="141">
        <v>30</v>
      </c>
      <c r="K203" s="141" t="s">
        <v>8</v>
      </c>
      <c r="L203" s="144">
        <f>J203*'Daftar HPP'!$F$143</f>
        <v>2146.3497453310692</v>
      </c>
      <c r="N203" s="153"/>
      <c r="O203" s="153"/>
      <c r="P203" s="206"/>
      <c r="Q203" s="206"/>
      <c r="R203" s="157"/>
      <c r="T203" s="141">
        <v>5</v>
      </c>
      <c r="U203" s="142" t="s">
        <v>26</v>
      </c>
      <c r="V203" s="141">
        <v>30</v>
      </c>
      <c r="W203" s="141" t="s">
        <v>8</v>
      </c>
      <c r="X203" s="144">
        <f>V203*'Daftar HPP'!$L$143</f>
        <v>1647.4064221926658</v>
      </c>
      <c r="Z203" s="141">
        <v>5</v>
      </c>
      <c r="AA203" s="142" t="s">
        <v>105</v>
      </c>
      <c r="AB203" s="141">
        <v>30</v>
      </c>
      <c r="AC203" s="141" t="s">
        <v>8</v>
      </c>
      <c r="AD203" s="144">
        <f>AB203*'Daftar HPP'!$F$143</f>
        <v>2146.3497453310692</v>
      </c>
      <c r="AF203" s="153"/>
      <c r="AG203" s="153"/>
      <c r="AH203" s="206"/>
      <c r="AI203" s="206"/>
      <c r="AJ203" s="157"/>
    </row>
    <row r="204" spans="2:36" x14ac:dyDescent="0.45">
      <c r="B204" s="141">
        <v>6</v>
      </c>
      <c r="C204" s="142" t="s">
        <v>275</v>
      </c>
      <c r="D204" s="141">
        <v>1</v>
      </c>
      <c r="E204" s="141" t="s">
        <v>8</v>
      </c>
      <c r="F204" s="144">
        <f>D204*'Daftar HPP'!$G$34</f>
        <v>500</v>
      </c>
      <c r="H204" s="141">
        <v>6</v>
      </c>
      <c r="I204" s="142" t="s">
        <v>275</v>
      </c>
      <c r="J204" s="141">
        <v>1</v>
      </c>
      <c r="K204" s="141" t="s">
        <v>8</v>
      </c>
      <c r="L204" s="144">
        <f>J204*'Daftar HPP'!$G$34</f>
        <v>500</v>
      </c>
      <c r="N204" s="153"/>
      <c r="O204" s="153"/>
      <c r="P204" s="206"/>
      <c r="Q204" s="206"/>
      <c r="R204" s="157"/>
      <c r="T204" s="141">
        <v>6</v>
      </c>
      <c r="U204" s="142" t="s">
        <v>275</v>
      </c>
      <c r="V204" s="141">
        <v>1</v>
      </c>
      <c r="W204" s="141" t="s">
        <v>8</v>
      </c>
      <c r="X204" s="144">
        <f>V204*'Daftar HPP'!$G$34</f>
        <v>500</v>
      </c>
      <c r="Z204" s="141">
        <v>6</v>
      </c>
      <c r="AA204" s="142" t="s">
        <v>275</v>
      </c>
      <c r="AB204" s="141">
        <v>1</v>
      </c>
      <c r="AC204" s="141" t="s">
        <v>8</v>
      </c>
      <c r="AD204" s="144">
        <f>AB204*'Daftar HPP'!$G$34</f>
        <v>500</v>
      </c>
      <c r="AF204" s="153"/>
      <c r="AG204" s="153"/>
      <c r="AH204" s="206"/>
      <c r="AI204" s="206"/>
      <c r="AJ204" s="157"/>
    </row>
    <row r="205" spans="2:36" x14ac:dyDescent="0.45">
      <c r="B205" s="141">
        <v>7</v>
      </c>
      <c r="C205" s="142" t="s">
        <v>251</v>
      </c>
      <c r="D205" s="141">
        <v>1</v>
      </c>
      <c r="E205" s="141" t="s">
        <v>28</v>
      </c>
      <c r="F205" s="144">
        <f>D205*'Daftar HPP'!$G$39</f>
        <v>1100</v>
      </c>
      <c r="H205" s="141">
        <v>7</v>
      </c>
      <c r="I205" s="142" t="s">
        <v>251</v>
      </c>
      <c r="J205" s="141">
        <v>1</v>
      </c>
      <c r="K205" s="141" t="s">
        <v>28</v>
      </c>
      <c r="L205" s="144">
        <f>J205*'Daftar HPP'!$G$39</f>
        <v>1100</v>
      </c>
      <c r="N205" s="153"/>
      <c r="O205" s="153"/>
      <c r="P205" s="206"/>
      <c r="Q205" s="206"/>
      <c r="R205" s="157"/>
      <c r="T205" s="141">
        <v>7</v>
      </c>
      <c r="U205" s="142" t="s">
        <v>251</v>
      </c>
      <c r="V205" s="141">
        <v>1</v>
      </c>
      <c r="W205" s="141" t="s">
        <v>28</v>
      </c>
      <c r="X205" s="144">
        <f>V205*'Daftar HPP'!$G$39</f>
        <v>1100</v>
      </c>
      <c r="Z205" s="141">
        <v>7</v>
      </c>
      <c r="AA205" s="142" t="s">
        <v>251</v>
      </c>
      <c r="AB205" s="141">
        <v>1</v>
      </c>
      <c r="AC205" s="141" t="s">
        <v>28</v>
      </c>
      <c r="AD205" s="144">
        <f>AB205*'Daftar HPP'!$G$39</f>
        <v>1100</v>
      </c>
      <c r="AF205" s="153"/>
      <c r="AG205" s="153"/>
      <c r="AH205" s="206"/>
      <c r="AI205" s="206"/>
      <c r="AJ205" s="157"/>
    </row>
    <row r="206" spans="2:36" x14ac:dyDescent="0.45">
      <c r="B206" s="153"/>
      <c r="C206" s="150"/>
      <c r="D206" s="261" t="s">
        <v>53</v>
      </c>
      <c r="E206" s="261"/>
      <c r="F206" s="190">
        <f>SUM(F199:F205)</f>
        <v>13147.240351878541</v>
      </c>
      <c r="H206" s="153"/>
      <c r="I206" s="150"/>
      <c r="J206" s="261" t="s">
        <v>53</v>
      </c>
      <c r="K206" s="261"/>
      <c r="L206" s="190">
        <f>SUM(L199:L205)</f>
        <v>13696.328545201559</v>
      </c>
      <c r="N206" s="153"/>
      <c r="O206" s="153"/>
      <c r="P206" s="206"/>
      <c r="Q206" s="206"/>
      <c r="R206" s="157"/>
      <c r="T206" s="153"/>
      <c r="U206" s="150"/>
      <c r="V206" s="261" t="s">
        <v>53</v>
      </c>
      <c r="W206" s="261"/>
      <c r="X206" s="190">
        <f>SUM(X199:X205)</f>
        <v>19753.115471495767</v>
      </c>
      <c r="Z206" s="153"/>
      <c r="AA206" s="150"/>
      <c r="AB206" s="261" t="s">
        <v>53</v>
      </c>
      <c r="AC206" s="261"/>
      <c r="AD206" s="190">
        <f>SUM(AD199:AD205)</f>
        <v>20302.203664818786</v>
      </c>
      <c r="AF206" s="153"/>
      <c r="AG206" s="153"/>
      <c r="AH206" s="206"/>
      <c r="AI206" s="206"/>
      <c r="AJ206" s="157"/>
    </row>
    <row r="207" spans="2:36" x14ac:dyDescent="0.45">
      <c r="B207" s="153"/>
      <c r="C207" s="153"/>
      <c r="D207" s="256" t="s">
        <v>116</v>
      </c>
      <c r="E207" s="256"/>
      <c r="F207" s="147">
        <v>26000</v>
      </c>
      <c r="H207" s="153"/>
      <c r="I207" s="153"/>
      <c r="J207" s="256" t="s">
        <v>116</v>
      </c>
      <c r="K207" s="256"/>
      <c r="L207" s="147">
        <v>26000</v>
      </c>
      <c r="N207" s="153"/>
      <c r="O207" s="153"/>
      <c r="P207" s="206"/>
      <c r="Q207" s="206"/>
      <c r="R207" s="157"/>
      <c r="T207" s="153"/>
      <c r="U207" s="153"/>
      <c r="V207" s="256" t="s">
        <v>116</v>
      </c>
      <c r="W207" s="256"/>
      <c r="X207" s="147">
        <v>38000</v>
      </c>
      <c r="Z207" s="153"/>
      <c r="AA207" s="153"/>
      <c r="AB207" s="256" t="s">
        <v>116</v>
      </c>
      <c r="AC207" s="256"/>
      <c r="AD207" s="147">
        <v>38000</v>
      </c>
      <c r="AF207" s="153"/>
      <c r="AG207" s="153"/>
      <c r="AH207" s="206"/>
      <c r="AI207" s="206"/>
      <c r="AJ207" s="157"/>
    </row>
    <row r="208" spans="2:36" x14ac:dyDescent="0.45">
      <c r="B208" s="153"/>
      <c r="C208" s="153"/>
      <c r="D208" s="256" t="s">
        <v>119</v>
      </c>
      <c r="E208" s="256"/>
      <c r="F208" s="148">
        <f>F207-F206</f>
        <v>12852.759648121459</v>
      </c>
      <c r="H208" s="153"/>
      <c r="I208" s="153"/>
      <c r="J208" s="256" t="s">
        <v>119</v>
      </c>
      <c r="K208" s="256"/>
      <c r="L208" s="148">
        <f>L207-L206</f>
        <v>12303.671454798441</v>
      </c>
      <c r="N208" s="153"/>
      <c r="O208" s="153"/>
      <c r="P208" s="206"/>
      <c r="Q208" s="206"/>
      <c r="R208" s="157"/>
      <c r="T208" s="153"/>
      <c r="U208" s="153"/>
      <c r="V208" s="256" t="s">
        <v>119</v>
      </c>
      <c r="W208" s="256"/>
      <c r="X208" s="148">
        <f>X207-X206</f>
        <v>18246.884528504233</v>
      </c>
      <c r="Z208" s="153"/>
      <c r="AA208" s="153"/>
      <c r="AB208" s="256" t="s">
        <v>119</v>
      </c>
      <c r="AC208" s="256"/>
      <c r="AD208" s="148">
        <f>AD207-AD206</f>
        <v>17697.796335181214</v>
      </c>
      <c r="AF208" s="153"/>
      <c r="AG208" s="153"/>
      <c r="AH208" s="206"/>
      <c r="AI208" s="206"/>
      <c r="AJ208" s="157"/>
    </row>
    <row r="210" spans="2:36" ht="15.4" x14ac:dyDescent="0.45">
      <c r="B210" s="259" t="s">
        <v>338</v>
      </c>
      <c r="C210" s="259"/>
      <c r="D210" s="259"/>
      <c r="E210" s="259"/>
      <c r="F210" s="259"/>
      <c r="G210" s="259"/>
      <c r="H210" s="259"/>
      <c r="I210" s="259"/>
      <c r="J210" s="259"/>
      <c r="K210" s="259"/>
      <c r="L210" s="259"/>
      <c r="M210" s="259"/>
      <c r="N210" s="259"/>
      <c r="O210" s="259"/>
      <c r="P210" s="259"/>
      <c r="Q210" s="259"/>
      <c r="R210" s="259"/>
      <c r="T210" s="259" t="s">
        <v>339</v>
      </c>
      <c r="U210" s="259"/>
      <c r="V210" s="259"/>
      <c r="W210" s="259"/>
      <c r="X210" s="259"/>
      <c r="Y210" s="259"/>
      <c r="Z210" s="259"/>
      <c r="AA210" s="259"/>
      <c r="AB210" s="259"/>
      <c r="AC210" s="259"/>
      <c r="AD210" s="259"/>
      <c r="AE210" s="259"/>
      <c r="AF210" s="259"/>
      <c r="AG210" s="259"/>
      <c r="AH210" s="259"/>
      <c r="AI210" s="259"/>
      <c r="AJ210" s="259"/>
    </row>
    <row r="211" spans="2:36" ht="14.65" thickBot="1" x14ac:dyDescent="0.5">
      <c r="B211" s="2" t="s">
        <v>253</v>
      </c>
      <c r="H211" s="2" t="s">
        <v>259</v>
      </c>
      <c r="N211" s="2" t="s">
        <v>263</v>
      </c>
      <c r="T211" s="2" t="s">
        <v>253</v>
      </c>
      <c r="Z211" s="2" t="s">
        <v>259</v>
      </c>
      <c r="AF211" s="2" t="s">
        <v>263</v>
      </c>
    </row>
    <row r="212" spans="2:36" x14ac:dyDescent="0.45">
      <c r="B212" s="119" t="s">
        <v>0</v>
      </c>
      <c r="C212" s="119" t="s">
        <v>49</v>
      </c>
      <c r="D212" s="119" t="s">
        <v>34</v>
      </c>
      <c r="E212" s="119" t="s">
        <v>50</v>
      </c>
      <c r="F212" s="119" t="s">
        <v>36</v>
      </c>
      <c r="H212" s="119" t="s">
        <v>0</v>
      </c>
      <c r="I212" s="119" t="s">
        <v>49</v>
      </c>
      <c r="J212" s="119" t="s">
        <v>34</v>
      </c>
      <c r="K212" s="119" t="s">
        <v>50</v>
      </c>
      <c r="L212" s="119" t="s">
        <v>36</v>
      </c>
      <c r="N212" s="119" t="s">
        <v>0</v>
      </c>
      <c r="O212" s="119" t="s">
        <v>49</v>
      </c>
      <c r="P212" s="119" t="s">
        <v>34</v>
      </c>
      <c r="Q212" s="119" t="s">
        <v>50</v>
      </c>
      <c r="R212" s="119" t="s">
        <v>36</v>
      </c>
      <c r="T212" s="119" t="s">
        <v>0</v>
      </c>
      <c r="U212" s="119" t="s">
        <v>49</v>
      </c>
      <c r="V212" s="119" t="s">
        <v>34</v>
      </c>
      <c r="W212" s="119" t="s">
        <v>50</v>
      </c>
      <c r="X212" s="119" t="s">
        <v>36</v>
      </c>
      <c r="Z212" s="119" t="s">
        <v>0</v>
      </c>
      <c r="AA212" s="119" t="s">
        <v>49</v>
      </c>
      <c r="AB212" s="119" t="s">
        <v>34</v>
      </c>
      <c r="AC212" s="119" t="s">
        <v>50</v>
      </c>
      <c r="AD212" s="119" t="s">
        <v>36</v>
      </c>
      <c r="AF212" s="119" t="s">
        <v>0</v>
      </c>
      <c r="AG212" s="119" t="s">
        <v>49</v>
      </c>
      <c r="AH212" s="119" t="s">
        <v>34</v>
      </c>
      <c r="AI212" s="119" t="s">
        <v>50</v>
      </c>
      <c r="AJ212" s="119" t="s">
        <v>36</v>
      </c>
    </row>
    <row r="213" spans="2:36" x14ac:dyDescent="0.45">
      <c r="B213" s="141">
        <v>1</v>
      </c>
      <c r="C213" s="142" t="s">
        <v>112</v>
      </c>
      <c r="D213" s="141">
        <v>1</v>
      </c>
      <c r="E213" s="141" t="s">
        <v>6</v>
      </c>
      <c r="F213" s="143">
        <f>D213*'Daftar HPP'!$L$57</f>
        <v>4875.7315789473687</v>
      </c>
      <c r="H213" s="141">
        <v>1</v>
      </c>
      <c r="I213" s="142" t="s">
        <v>112</v>
      </c>
      <c r="J213" s="141">
        <v>1</v>
      </c>
      <c r="K213" s="141" t="s">
        <v>6</v>
      </c>
      <c r="L213" s="143">
        <f>J213*'Daftar HPP'!$L$57</f>
        <v>4875.7315789473687</v>
      </c>
      <c r="N213" s="141">
        <v>1</v>
      </c>
      <c r="O213" s="142" t="s">
        <v>112</v>
      </c>
      <c r="P213" s="141">
        <v>1</v>
      </c>
      <c r="Q213" s="141" t="s">
        <v>6</v>
      </c>
      <c r="R213" s="143">
        <f>P213*'Daftar HPP'!$L$57</f>
        <v>4875.7315789473687</v>
      </c>
      <c r="T213" s="141">
        <v>1</v>
      </c>
      <c r="U213" s="142" t="s">
        <v>112</v>
      </c>
      <c r="V213" s="141">
        <v>2</v>
      </c>
      <c r="W213" s="141" t="s">
        <v>6</v>
      </c>
      <c r="X213" s="143">
        <f>V213*'Daftar HPP'!$L$57</f>
        <v>9751.4631578947374</v>
      </c>
      <c r="Z213" s="141">
        <v>1</v>
      </c>
      <c r="AA213" s="142" t="s">
        <v>112</v>
      </c>
      <c r="AB213" s="141">
        <v>2</v>
      </c>
      <c r="AC213" s="141" t="s">
        <v>6</v>
      </c>
      <c r="AD213" s="143">
        <f>AB213*'Daftar HPP'!$L$57</f>
        <v>9751.4631578947374</v>
      </c>
      <c r="AF213" s="141">
        <v>1</v>
      </c>
      <c r="AG213" s="142" t="s">
        <v>112</v>
      </c>
      <c r="AH213" s="141">
        <v>2</v>
      </c>
      <c r="AI213" s="141" t="s">
        <v>6</v>
      </c>
      <c r="AJ213" s="143">
        <f>AH213*'Daftar HPP'!$L$57</f>
        <v>9751.4631578947374</v>
      </c>
    </row>
    <row r="214" spans="2:36" x14ac:dyDescent="0.45">
      <c r="B214" s="141">
        <v>2</v>
      </c>
      <c r="C214" s="142" t="s">
        <v>19</v>
      </c>
      <c r="D214" s="141">
        <v>40</v>
      </c>
      <c r="E214" s="141" t="s">
        <v>8</v>
      </c>
      <c r="F214" s="143">
        <f>D214*'Daftar HPP'!$L$114</f>
        <v>1787.719298245614</v>
      </c>
      <c r="H214" s="141">
        <v>2</v>
      </c>
      <c r="I214" s="142" t="s">
        <v>19</v>
      </c>
      <c r="J214" s="141">
        <v>40</v>
      </c>
      <c r="K214" s="141" t="s">
        <v>8</v>
      </c>
      <c r="L214" s="143">
        <f>J214*'Daftar HPP'!$L$114</f>
        <v>1787.719298245614</v>
      </c>
      <c r="N214" s="141">
        <v>2</v>
      </c>
      <c r="O214" s="142" t="s">
        <v>19</v>
      </c>
      <c r="P214" s="141">
        <v>40</v>
      </c>
      <c r="Q214" s="141" t="s">
        <v>8</v>
      </c>
      <c r="R214" s="143">
        <f>P214*'Daftar HPP'!$L$114</f>
        <v>1787.719298245614</v>
      </c>
      <c r="T214" s="141">
        <v>2</v>
      </c>
      <c r="U214" s="142" t="s">
        <v>19</v>
      </c>
      <c r="V214" s="141">
        <v>80</v>
      </c>
      <c r="W214" s="141" t="s">
        <v>8</v>
      </c>
      <c r="X214" s="143">
        <f>V214*'Daftar HPP'!$L$114</f>
        <v>3575.4385964912281</v>
      </c>
      <c r="Z214" s="141">
        <v>2</v>
      </c>
      <c r="AA214" s="142" t="s">
        <v>19</v>
      </c>
      <c r="AB214" s="141">
        <v>80</v>
      </c>
      <c r="AC214" s="141" t="s">
        <v>8</v>
      </c>
      <c r="AD214" s="143">
        <f>AB214*'Daftar HPP'!$L$114</f>
        <v>3575.4385964912281</v>
      </c>
      <c r="AF214" s="141">
        <v>2</v>
      </c>
      <c r="AG214" s="142" t="s">
        <v>19</v>
      </c>
      <c r="AH214" s="141">
        <v>80</v>
      </c>
      <c r="AI214" s="141" t="s">
        <v>8</v>
      </c>
      <c r="AJ214" s="143">
        <f>AH214*'Daftar HPP'!$L$114</f>
        <v>3575.4385964912281</v>
      </c>
    </row>
    <row r="215" spans="2:36" x14ac:dyDescent="0.45">
      <c r="B215" s="141">
        <v>3</v>
      </c>
      <c r="C215" s="142" t="s">
        <v>271</v>
      </c>
      <c r="D215" s="141">
        <v>1</v>
      </c>
      <c r="E215" s="141" t="s">
        <v>118</v>
      </c>
      <c r="F215" s="143">
        <f>D215*'Daftar HPP'!$G$13</f>
        <v>1200</v>
      </c>
      <c r="H215" s="141">
        <v>3</v>
      </c>
      <c r="I215" s="142" t="s">
        <v>271</v>
      </c>
      <c r="J215" s="141">
        <v>1</v>
      </c>
      <c r="K215" s="141" t="s">
        <v>118</v>
      </c>
      <c r="L215" s="143">
        <f>J215*'Daftar HPP'!$G$13</f>
        <v>1200</v>
      </c>
      <c r="N215" s="141">
        <v>3</v>
      </c>
      <c r="O215" s="142" t="s">
        <v>271</v>
      </c>
      <c r="P215" s="141">
        <v>1</v>
      </c>
      <c r="Q215" s="141" t="s">
        <v>118</v>
      </c>
      <c r="R215" s="143">
        <f>P215*'Daftar HPP'!$G$13</f>
        <v>1200</v>
      </c>
      <c r="T215" s="141">
        <v>3</v>
      </c>
      <c r="U215" s="142" t="s">
        <v>271</v>
      </c>
      <c r="V215" s="141">
        <v>1</v>
      </c>
      <c r="W215" s="141" t="s">
        <v>118</v>
      </c>
      <c r="X215" s="143">
        <f>V215*'Daftar HPP'!$G$13</f>
        <v>1200</v>
      </c>
      <c r="Z215" s="141">
        <v>3</v>
      </c>
      <c r="AA215" s="142" t="s">
        <v>271</v>
      </c>
      <c r="AB215" s="141">
        <v>1</v>
      </c>
      <c r="AC215" s="141" t="s">
        <v>118</v>
      </c>
      <c r="AD215" s="143">
        <f>AB215*'Daftar HPP'!$G$13</f>
        <v>1200</v>
      </c>
      <c r="AF215" s="141">
        <v>3</v>
      </c>
      <c r="AG215" s="142" t="s">
        <v>271</v>
      </c>
      <c r="AH215" s="141">
        <v>1</v>
      </c>
      <c r="AI215" s="141" t="s">
        <v>118</v>
      </c>
      <c r="AJ215" s="143">
        <f>AH215*'Daftar HPP'!$G$13</f>
        <v>1200</v>
      </c>
    </row>
    <row r="216" spans="2:36" x14ac:dyDescent="0.45">
      <c r="B216" s="141">
        <v>4</v>
      </c>
      <c r="C216" s="142" t="s">
        <v>17</v>
      </c>
      <c r="D216" s="141">
        <v>30</v>
      </c>
      <c r="E216" s="141" t="s">
        <v>8</v>
      </c>
      <c r="F216" s="144">
        <f>D216*'Daftar HPP'!$F$152</f>
        <v>2093.9588100686497</v>
      </c>
      <c r="H216" s="141">
        <v>4</v>
      </c>
      <c r="I216" s="142" t="s">
        <v>25</v>
      </c>
      <c r="J216" s="141">
        <v>30</v>
      </c>
      <c r="K216" s="141" t="s">
        <v>8</v>
      </c>
      <c r="L216" s="144">
        <f>J216*'Daftar HPP'!$G$22</f>
        <v>1995</v>
      </c>
      <c r="N216" s="141">
        <v>4</v>
      </c>
      <c r="O216" s="142" t="s">
        <v>107</v>
      </c>
      <c r="P216" s="141">
        <v>30</v>
      </c>
      <c r="Q216" s="141" t="s">
        <v>8</v>
      </c>
      <c r="R216" s="144">
        <f>P216*'Daftar HPP'!$L$152</f>
        <v>2144.1036802532649</v>
      </c>
      <c r="T216" s="141">
        <v>4</v>
      </c>
      <c r="U216" s="142" t="s">
        <v>17</v>
      </c>
      <c r="V216" s="141">
        <v>30</v>
      </c>
      <c r="W216" s="141" t="s">
        <v>8</v>
      </c>
      <c r="X216" s="144">
        <f>V216*'Daftar HPP'!$F$152</f>
        <v>2093.9588100686497</v>
      </c>
      <c r="Z216" s="141">
        <v>4</v>
      </c>
      <c r="AA216" s="142" t="s">
        <v>25</v>
      </c>
      <c r="AB216" s="141">
        <v>30</v>
      </c>
      <c r="AC216" s="141" t="s">
        <v>8</v>
      </c>
      <c r="AD216" s="144">
        <f>AB216*'Daftar HPP'!$G$22</f>
        <v>1995</v>
      </c>
      <c r="AF216" s="141">
        <v>4</v>
      </c>
      <c r="AG216" s="142" t="s">
        <v>107</v>
      </c>
      <c r="AH216" s="141">
        <v>30</v>
      </c>
      <c r="AI216" s="141" t="s">
        <v>8</v>
      </c>
      <c r="AJ216" s="144">
        <f>AH216*'Daftar HPP'!$L$152</f>
        <v>2144.1036802532649</v>
      </c>
    </row>
    <row r="217" spans="2:36" x14ac:dyDescent="0.45">
      <c r="B217" s="141">
        <v>5</v>
      </c>
      <c r="C217" s="142" t="s">
        <v>25</v>
      </c>
      <c r="D217" s="141">
        <v>30</v>
      </c>
      <c r="E217" s="141" t="s">
        <v>8</v>
      </c>
      <c r="F217" s="144">
        <f>D217*'Daftar HPP'!$G$22</f>
        <v>1995</v>
      </c>
      <c r="H217" s="141">
        <v>5</v>
      </c>
      <c r="I217" s="142" t="s">
        <v>105</v>
      </c>
      <c r="J217" s="141">
        <v>30</v>
      </c>
      <c r="K217" s="141" t="s">
        <v>8</v>
      </c>
      <c r="L217" s="144">
        <f>J217*'Daftar HPP'!$F$143</f>
        <v>2146.3497453310692</v>
      </c>
      <c r="N217" s="141">
        <v>5</v>
      </c>
      <c r="O217" s="142" t="s">
        <v>26</v>
      </c>
      <c r="P217" s="141">
        <v>30</v>
      </c>
      <c r="Q217" s="141" t="s">
        <v>8</v>
      </c>
      <c r="R217" s="144">
        <f>P217*'Daftar HPP'!$L$143</f>
        <v>1647.4064221926658</v>
      </c>
      <c r="T217" s="141">
        <v>5</v>
      </c>
      <c r="U217" s="142" t="s">
        <v>25</v>
      </c>
      <c r="V217" s="141">
        <v>30</v>
      </c>
      <c r="W217" s="141" t="s">
        <v>8</v>
      </c>
      <c r="X217" s="144">
        <f>V217*'Daftar HPP'!$G$22</f>
        <v>1995</v>
      </c>
      <c r="Z217" s="141">
        <v>5</v>
      </c>
      <c r="AA217" s="142" t="s">
        <v>105</v>
      </c>
      <c r="AB217" s="141">
        <v>30</v>
      </c>
      <c r="AC217" s="141" t="s">
        <v>8</v>
      </c>
      <c r="AD217" s="144">
        <f>AB217*'Daftar HPP'!$F$143</f>
        <v>2146.3497453310692</v>
      </c>
      <c r="AF217" s="141">
        <v>5</v>
      </c>
      <c r="AG217" s="142" t="s">
        <v>26</v>
      </c>
      <c r="AH217" s="141">
        <v>30</v>
      </c>
      <c r="AI217" s="141" t="s">
        <v>8</v>
      </c>
      <c r="AJ217" s="144">
        <f>AH217*'Daftar HPP'!$L$143</f>
        <v>1647.4064221926658</v>
      </c>
    </row>
    <row r="218" spans="2:36" x14ac:dyDescent="0.45">
      <c r="B218" s="141">
        <v>6</v>
      </c>
      <c r="C218" s="142" t="s">
        <v>275</v>
      </c>
      <c r="D218" s="141">
        <v>1</v>
      </c>
      <c r="E218" s="141" t="s">
        <v>8</v>
      </c>
      <c r="F218" s="144">
        <f>D218*'Daftar HPP'!$G$34</f>
        <v>500</v>
      </c>
      <c r="H218" s="141">
        <v>6</v>
      </c>
      <c r="I218" s="142" t="s">
        <v>275</v>
      </c>
      <c r="J218" s="141">
        <v>1</v>
      </c>
      <c r="K218" s="141" t="s">
        <v>8</v>
      </c>
      <c r="L218" s="144">
        <f>J218*'Daftar HPP'!$G$34</f>
        <v>500</v>
      </c>
      <c r="N218" s="141">
        <v>6</v>
      </c>
      <c r="O218" s="142" t="s">
        <v>275</v>
      </c>
      <c r="P218" s="141">
        <v>1</v>
      </c>
      <c r="Q218" s="141" t="s">
        <v>8</v>
      </c>
      <c r="R218" s="144">
        <f>P218*'Daftar HPP'!$G$34</f>
        <v>500</v>
      </c>
      <c r="T218" s="141">
        <v>6</v>
      </c>
      <c r="U218" s="142" t="s">
        <v>275</v>
      </c>
      <c r="V218" s="141">
        <v>1</v>
      </c>
      <c r="W218" s="141" t="s">
        <v>8</v>
      </c>
      <c r="X218" s="144">
        <f>V218*'Daftar HPP'!$G$34</f>
        <v>500</v>
      </c>
      <c r="Z218" s="141">
        <v>6</v>
      </c>
      <c r="AA218" s="142" t="s">
        <v>275</v>
      </c>
      <c r="AB218" s="141">
        <v>1</v>
      </c>
      <c r="AC218" s="141" t="s">
        <v>8</v>
      </c>
      <c r="AD218" s="144">
        <f>AB218*'Daftar HPP'!$G$34</f>
        <v>500</v>
      </c>
      <c r="AF218" s="141">
        <v>6</v>
      </c>
      <c r="AG218" s="142" t="s">
        <v>275</v>
      </c>
      <c r="AH218" s="141">
        <v>1</v>
      </c>
      <c r="AI218" s="141" t="s">
        <v>8</v>
      </c>
      <c r="AJ218" s="144">
        <f>AH218*'Daftar HPP'!$G$34</f>
        <v>500</v>
      </c>
    </row>
    <row r="219" spans="2:36" x14ac:dyDescent="0.45">
      <c r="B219" s="141">
        <v>7</v>
      </c>
      <c r="C219" s="142" t="s">
        <v>251</v>
      </c>
      <c r="D219" s="141">
        <v>1</v>
      </c>
      <c r="E219" s="141" t="s">
        <v>28</v>
      </c>
      <c r="F219" s="144">
        <f>D219*'Daftar HPP'!$G$39</f>
        <v>1100</v>
      </c>
      <c r="H219" s="141">
        <v>7</v>
      </c>
      <c r="I219" s="142" t="s">
        <v>251</v>
      </c>
      <c r="J219" s="141">
        <v>1</v>
      </c>
      <c r="K219" s="141" t="s">
        <v>28</v>
      </c>
      <c r="L219" s="144">
        <f>J219*'Daftar HPP'!$G$39</f>
        <v>1100</v>
      </c>
      <c r="N219" s="141">
        <v>7</v>
      </c>
      <c r="O219" s="142" t="s">
        <v>251</v>
      </c>
      <c r="P219" s="141">
        <v>1</v>
      </c>
      <c r="Q219" s="141" t="s">
        <v>28</v>
      </c>
      <c r="R219" s="144">
        <f>P219*'Daftar HPP'!$G$39</f>
        <v>1100</v>
      </c>
      <c r="T219" s="141">
        <v>7</v>
      </c>
      <c r="U219" s="142" t="s">
        <v>251</v>
      </c>
      <c r="V219" s="141">
        <v>1</v>
      </c>
      <c r="W219" s="141" t="s">
        <v>28</v>
      </c>
      <c r="X219" s="144">
        <f>V219*'Daftar HPP'!$G$39</f>
        <v>1100</v>
      </c>
      <c r="Z219" s="141">
        <v>7</v>
      </c>
      <c r="AA219" s="142" t="s">
        <v>251</v>
      </c>
      <c r="AB219" s="141">
        <v>1</v>
      </c>
      <c r="AC219" s="141" t="s">
        <v>28</v>
      </c>
      <c r="AD219" s="144">
        <f>AB219*'Daftar HPP'!$G$39</f>
        <v>1100</v>
      </c>
      <c r="AF219" s="141">
        <v>7</v>
      </c>
      <c r="AG219" s="142" t="s">
        <v>251</v>
      </c>
      <c r="AH219" s="141">
        <v>1</v>
      </c>
      <c r="AI219" s="141" t="s">
        <v>28</v>
      </c>
      <c r="AJ219" s="144">
        <f>AH219*'Daftar HPP'!$G$39</f>
        <v>1100</v>
      </c>
    </row>
    <row r="220" spans="2:36" x14ac:dyDescent="0.45">
      <c r="B220" s="153"/>
      <c r="C220" s="150"/>
      <c r="D220" s="261" t="s">
        <v>53</v>
      </c>
      <c r="E220" s="261"/>
      <c r="F220" s="190">
        <f>SUM(F213:F219)</f>
        <v>13552.409687261632</v>
      </c>
      <c r="H220" s="153"/>
      <c r="I220" s="150"/>
      <c r="J220" s="261" t="s">
        <v>53</v>
      </c>
      <c r="K220" s="261"/>
      <c r="L220" s="190">
        <f>SUM(L213:L219)</f>
        <v>13604.800622524053</v>
      </c>
      <c r="N220" s="153"/>
      <c r="O220" s="150"/>
      <c r="P220" s="261" t="s">
        <v>53</v>
      </c>
      <c r="Q220" s="261"/>
      <c r="R220" s="190">
        <f>SUM(R213:R219)</f>
        <v>13254.960979638914</v>
      </c>
      <c r="T220" s="153"/>
      <c r="U220" s="150"/>
      <c r="V220" s="261" t="s">
        <v>53</v>
      </c>
      <c r="W220" s="261"/>
      <c r="X220" s="190">
        <f>SUM(X213:X219)</f>
        <v>20215.860564454615</v>
      </c>
      <c r="Z220" s="153"/>
      <c r="AA220" s="150"/>
      <c r="AB220" s="261" t="s">
        <v>53</v>
      </c>
      <c r="AC220" s="261"/>
      <c r="AD220" s="190">
        <f>SUM(AD213:AD219)</f>
        <v>20268.251499717036</v>
      </c>
      <c r="AF220" s="153"/>
      <c r="AG220" s="150"/>
      <c r="AH220" s="261" t="s">
        <v>53</v>
      </c>
      <c r="AI220" s="261"/>
      <c r="AJ220" s="190">
        <f>SUM(AJ213:AJ219)</f>
        <v>19918.411856831899</v>
      </c>
    </row>
    <row r="221" spans="2:36" x14ac:dyDescent="0.45">
      <c r="B221" s="153"/>
      <c r="C221" s="153"/>
      <c r="D221" s="256" t="s">
        <v>116</v>
      </c>
      <c r="E221" s="256"/>
      <c r="F221" s="147">
        <v>26000</v>
      </c>
      <c r="H221" s="153"/>
      <c r="I221" s="153"/>
      <c r="J221" s="256" t="s">
        <v>116</v>
      </c>
      <c r="K221" s="256"/>
      <c r="L221" s="147">
        <v>26000</v>
      </c>
      <c r="N221" s="153"/>
      <c r="O221" s="153"/>
      <c r="P221" s="256" t="s">
        <v>116</v>
      </c>
      <c r="Q221" s="256"/>
      <c r="R221" s="147">
        <v>26000</v>
      </c>
      <c r="T221" s="153"/>
      <c r="U221" s="153"/>
      <c r="V221" s="256" t="s">
        <v>116</v>
      </c>
      <c r="W221" s="256"/>
      <c r="X221" s="147">
        <v>38000</v>
      </c>
      <c r="Z221" s="153"/>
      <c r="AA221" s="153"/>
      <c r="AB221" s="256" t="s">
        <v>116</v>
      </c>
      <c r="AC221" s="256"/>
      <c r="AD221" s="147">
        <v>38000</v>
      </c>
      <c r="AF221" s="153"/>
      <c r="AG221" s="153"/>
      <c r="AH221" s="256" t="s">
        <v>116</v>
      </c>
      <c r="AI221" s="256"/>
      <c r="AJ221" s="147">
        <v>38000</v>
      </c>
    </row>
    <row r="222" spans="2:36" x14ac:dyDescent="0.45">
      <c r="B222" s="153"/>
      <c r="C222" s="153"/>
      <c r="D222" s="256" t="s">
        <v>119</v>
      </c>
      <c r="E222" s="256"/>
      <c r="F222" s="148">
        <f>F221-F220</f>
        <v>12447.590312738368</v>
      </c>
      <c r="H222" s="153"/>
      <c r="I222" s="153"/>
      <c r="J222" s="256" t="s">
        <v>119</v>
      </c>
      <c r="K222" s="256"/>
      <c r="L222" s="148">
        <f>L221-L220</f>
        <v>12395.199377475947</v>
      </c>
      <c r="N222" s="153"/>
      <c r="O222" s="153"/>
      <c r="P222" s="256" t="s">
        <v>119</v>
      </c>
      <c r="Q222" s="256"/>
      <c r="R222" s="148">
        <f>R221-R220</f>
        <v>12745.039020361086</v>
      </c>
      <c r="T222" s="153"/>
      <c r="U222" s="153"/>
      <c r="V222" s="256" t="s">
        <v>119</v>
      </c>
      <c r="W222" s="256"/>
      <c r="X222" s="148">
        <f>X221-X220</f>
        <v>17784.139435545385</v>
      </c>
      <c r="Z222" s="153"/>
      <c r="AA222" s="153"/>
      <c r="AB222" s="256" t="s">
        <v>119</v>
      </c>
      <c r="AC222" s="256"/>
      <c r="AD222" s="148">
        <f>AD221-AD220</f>
        <v>17731.748500282964</v>
      </c>
      <c r="AF222" s="153"/>
      <c r="AG222" s="153"/>
      <c r="AH222" s="256" t="s">
        <v>119</v>
      </c>
      <c r="AI222" s="256"/>
      <c r="AJ222" s="148">
        <f>AJ221-AJ220</f>
        <v>18081.588143168101</v>
      </c>
    </row>
    <row r="224" spans="2:36" ht="14.65" thickBot="1" x14ac:dyDescent="0.5">
      <c r="B224" s="2" t="s">
        <v>256</v>
      </c>
      <c r="H224" s="2" t="s">
        <v>260</v>
      </c>
      <c r="N224" s="2" t="s">
        <v>307</v>
      </c>
      <c r="T224" s="2" t="s">
        <v>256</v>
      </c>
      <c r="Z224" s="2" t="s">
        <v>260</v>
      </c>
      <c r="AF224" s="2" t="s">
        <v>307</v>
      </c>
    </row>
    <row r="225" spans="2:36" x14ac:dyDescent="0.45">
      <c r="B225" s="119" t="s">
        <v>0</v>
      </c>
      <c r="C225" s="119" t="s">
        <v>49</v>
      </c>
      <c r="D225" s="119" t="s">
        <v>34</v>
      </c>
      <c r="E225" s="119" t="s">
        <v>50</v>
      </c>
      <c r="F225" s="119" t="s">
        <v>36</v>
      </c>
      <c r="H225" s="119" t="s">
        <v>0</v>
      </c>
      <c r="I225" s="119" t="s">
        <v>49</v>
      </c>
      <c r="J225" s="119" t="s">
        <v>34</v>
      </c>
      <c r="K225" s="119" t="s">
        <v>50</v>
      </c>
      <c r="L225" s="119" t="s">
        <v>36</v>
      </c>
      <c r="N225" s="119" t="s">
        <v>0</v>
      </c>
      <c r="O225" s="119" t="s">
        <v>49</v>
      </c>
      <c r="P225" s="119" t="s">
        <v>34</v>
      </c>
      <c r="Q225" s="119" t="s">
        <v>50</v>
      </c>
      <c r="R225" s="119" t="s">
        <v>36</v>
      </c>
      <c r="T225" s="119" t="s">
        <v>0</v>
      </c>
      <c r="U225" s="119" t="s">
        <v>49</v>
      </c>
      <c r="V225" s="119" t="s">
        <v>34</v>
      </c>
      <c r="W225" s="119" t="s">
        <v>50</v>
      </c>
      <c r="X225" s="119" t="s">
        <v>36</v>
      </c>
      <c r="Z225" s="119" t="s">
        <v>0</v>
      </c>
      <c r="AA225" s="119" t="s">
        <v>49</v>
      </c>
      <c r="AB225" s="119" t="s">
        <v>34</v>
      </c>
      <c r="AC225" s="119" t="s">
        <v>50</v>
      </c>
      <c r="AD225" s="119" t="s">
        <v>36</v>
      </c>
      <c r="AF225" s="119" t="s">
        <v>0</v>
      </c>
      <c r="AG225" s="119" t="s">
        <v>49</v>
      </c>
      <c r="AH225" s="119" t="s">
        <v>34</v>
      </c>
      <c r="AI225" s="119" t="s">
        <v>50</v>
      </c>
      <c r="AJ225" s="119" t="s">
        <v>36</v>
      </c>
    </row>
    <row r="226" spans="2:36" x14ac:dyDescent="0.45">
      <c r="B226" s="141">
        <v>1</v>
      </c>
      <c r="C226" s="142" t="s">
        <v>112</v>
      </c>
      <c r="D226" s="141">
        <v>1</v>
      </c>
      <c r="E226" s="141" t="s">
        <v>6</v>
      </c>
      <c r="F226" s="143">
        <f>D226*'Daftar HPP'!$L$57</f>
        <v>4875.7315789473687</v>
      </c>
      <c r="H226" s="141">
        <v>1</v>
      </c>
      <c r="I226" s="142" t="s">
        <v>112</v>
      </c>
      <c r="J226" s="141">
        <v>1</v>
      </c>
      <c r="K226" s="141" t="s">
        <v>6</v>
      </c>
      <c r="L226" s="143">
        <f>J226*'Daftar HPP'!$L$57</f>
        <v>4875.7315789473687</v>
      </c>
      <c r="N226" s="141">
        <v>1</v>
      </c>
      <c r="O226" s="142" t="s">
        <v>112</v>
      </c>
      <c r="P226" s="141">
        <v>1</v>
      </c>
      <c r="Q226" s="141" t="s">
        <v>6</v>
      </c>
      <c r="R226" s="143">
        <f>P226*'Daftar HPP'!$L$57</f>
        <v>4875.7315789473687</v>
      </c>
      <c r="T226" s="141">
        <v>1</v>
      </c>
      <c r="U226" s="142" t="s">
        <v>112</v>
      </c>
      <c r="V226" s="141">
        <v>2</v>
      </c>
      <c r="W226" s="141" t="s">
        <v>6</v>
      </c>
      <c r="X226" s="143">
        <f>V226*'Daftar HPP'!$L$57</f>
        <v>9751.4631578947374</v>
      </c>
      <c r="Z226" s="141">
        <v>1</v>
      </c>
      <c r="AA226" s="142" t="s">
        <v>112</v>
      </c>
      <c r="AB226" s="141">
        <v>2</v>
      </c>
      <c r="AC226" s="141" t="s">
        <v>6</v>
      </c>
      <c r="AD226" s="143">
        <f>AB226*'Daftar HPP'!$L$57</f>
        <v>9751.4631578947374</v>
      </c>
      <c r="AF226" s="141">
        <v>1</v>
      </c>
      <c r="AG226" s="142" t="s">
        <v>112</v>
      </c>
      <c r="AH226" s="141">
        <v>2</v>
      </c>
      <c r="AI226" s="141" t="s">
        <v>6</v>
      </c>
      <c r="AJ226" s="143">
        <f>AH226*'Daftar HPP'!$L$57</f>
        <v>9751.4631578947374</v>
      </c>
    </row>
    <row r="227" spans="2:36" x14ac:dyDescent="0.45">
      <c r="B227" s="141">
        <v>2</v>
      </c>
      <c r="C227" s="142" t="s">
        <v>19</v>
      </c>
      <c r="D227" s="141">
        <v>40</v>
      </c>
      <c r="E227" s="141" t="s">
        <v>8</v>
      </c>
      <c r="F227" s="143">
        <f>D227*'Daftar HPP'!$L$114</f>
        <v>1787.719298245614</v>
      </c>
      <c r="H227" s="141">
        <v>2</v>
      </c>
      <c r="I227" s="142" t="s">
        <v>19</v>
      </c>
      <c r="J227" s="141">
        <v>40</v>
      </c>
      <c r="K227" s="141" t="s">
        <v>8</v>
      </c>
      <c r="L227" s="143">
        <f>J227*'Daftar HPP'!$L$114</f>
        <v>1787.719298245614</v>
      </c>
      <c r="N227" s="141">
        <v>2</v>
      </c>
      <c r="O227" s="142" t="s">
        <v>19</v>
      </c>
      <c r="P227" s="141">
        <v>40</v>
      </c>
      <c r="Q227" s="141" t="s">
        <v>8</v>
      </c>
      <c r="R227" s="143">
        <f>P227*'Daftar HPP'!$L$114</f>
        <v>1787.719298245614</v>
      </c>
      <c r="T227" s="141">
        <v>2</v>
      </c>
      <c r="U227" s="142" t="s">
        <v>19</v>
      </c>
      <c r="V227" s="141">
        <v>80</v>
      </c>
      <c r="W227" s="141" t="s">
        <v>8</v>
      </c>
      <c r="X227" s="143">
        <f>V227*'Daftar HPP'!$L$114</f>
        <v>3575.4385964912281</v>
      </c>
      <c r="Z227" s="141">
        <v>2</v>
      </c>
      <c r="AA227" s="142" t="s">
        <v>19</v>
      </c>
      <c r="AB227" s="141">
        <v>80</v>
      </c>
      <c r="AC227" s="141" t="s">
        <v>8</v>
      </c>
      <c r="AD227" s="143">
        <f>AB227*'Daftar HPP'!$L$114</f>
        <v>3575.4385964912281</v>
      </c>
      <c r="AF227" s="141">
        <v>2</v>
      </c>
      <c r="AG227" s="142" t="s">
        <v>19</v>
      </c>
      <c r="AH227" s="141">
        <v>80</v>
      </c>
      <c r="AI227" s="141" t="s">
        <v>8</v>
      </c>
      <c r="AJ227" s="143">
        <f>AH227*'Daftar HPP'!$L$114</f>
        <v>3575.4385964912281</v>
      </c>
    </row>
    <row r="228" spans="2:36" x14ac:dyDescent="0.45">
      <c r="B228" s="141">
        <v>3</v>
      </c>
      <c r="C228" s="142" t="s">
        <v>271</v>
      </c>
      <c r="D228" s="141">
        <v>1</v>
      </c>
      <c r="E228" s="141" t="s">
        <v>118</v>
      </c>
      <c r="F228" s="143">
        <f>D228*'Daftar HPP'!$G$13</f>
        <v>1200</v>
      </c>
      <c r="H228" s="141">
        <v>3</v>
      </c>
      <c r="I228" s="142" t="s">
        <v>271</v>
      </c>
      <c r="J228" s="141">
        <v>1</v>
      </c>
      <c r="K228" s="141" t="s">
        <v>118</v>
      </c>
      <c r="L228" s="143">
        <f>J228*'Daftar HPP'!$G$13</f>
        <v>1200</v>
      </c>
      <c r="N228" s="141">
        <v>3</v>
      </c>
      <c r="O228" s="142" t="s">
        <v>271</v>
      </c>
      <c r="P228" s="141">
        <v>1</v>
      </c>
      <c r="Q228" s="141" t="s">
        <v>118</v>
      </c>
      <c r="R228" s="143">
        <f>P228*'Daftar HPP'!$G$13</f>
        <v>1200</v>
      </c>
      <c r="T228" s="141">
        <v>3</v>
      </c>
      <c r="U228" s="142" t="s">
        <v>271</v>
      </c>
      <c r="V228" s="141">
        <v>1</v>
      </c>
      <c r="W228" s="141" t="s">
        <v>118</v>
      </c>
      <c r="X228" s="143">
        <f>V228*'Daftar HPP'!$G$13</f>
        <v>1200</v>
      </c>
      <c r="Z228" s="141">
        <v>3</v>
      </c>
      <c r="AA228" s="142" t="s">
        <v>271</v>
      </c>
      <c r="AB228" s="141">
        <v>1</v>
      </c>
      <c r="AC228" s="141" t="s">
        <v>118</v>
      </c>
      <c r="AD228" s="143">
        <f>AB228*'Daftar HPP'!$G$13</f>
        <v>1200</v>
      </c>
      <c r="AF228" s="141">
        <v>3</v>
      </c>
      <c r="AG228" s="142" t="s">
        <v>271</v>
      </c>
      <c r="AH228" s="141">
        <v>1</v>
      </c>
      <c r="AI228" s="141" t="s">
        <v>118</v>
      </c>
      <c r="AJ228" s="143">
        <f>AH228*'Daftar HPP'!$G$13</f>
        <v>1200</v>
      </c>
    </row>
    <row r="229" spans="2:36" x14ac:dyDescent="0.45">
      <c r="B229" s="141">
        <v>4</v>
      </c>
      <c r="C229" s="142" t="s">
        <v>17</v>
      </c>
      <c r="D229" s="141">
        <v>30</v>
      </c>
      <c r="E229" s="141" t="s">
        <v>8</v>
      </c>
      <c r="F229" s="144">
        <f>D229*'Daftar HPP'!$F$152</f>
        <v>2093.9588100686497</v>
      </c>
      <c r="H229" s="141">
        <v>4</v>
      </c>
      <c r="I229" s="142" t="s">
        <v>25</v>
      </c>
      <c r="J229" s="141">
        <v>30</v>
      </c>
      <c r="K229" s="141" t="s">
        <v>8</v>
      </c>
      <c r="L229" s="144">
        <f>J229*'Daftar HPP'!$G$22</f>
        <v>1995</v>
      </c>
      <c r="N229" s="141">
        <v>4</v>
      </c>
      <c r="O229" s="142" t="s">
        <v>105</v>
      </c>
      <c r="P229" s="141">
        <v>30</v>
      </c>
      <c r="Q229" s="141" t="s">
        <v>8</v>
      </c>
      <c r="R229" s="144">
        <f>P229*'Daftar HPP'!$F$143</f>
        <v>2146.3497453310692</v>
      </c>
      <c r="T229" s="141">
        <v>4</v>
      </c>
      <c r="U229" s="142" t="s">
        <v>17</v>
      </c>
      <c r="V229" s="141">
        <v>30</v>
      </c>
      <c r="W229" s="141" t="s">
        <v>8</v>
      </c>
      <c r="X229" s="144">
        <f>V229*'Daftar HPP'!$F$152</f>
        <v>2093.9588100686497</v>
      </c>
      <c r="Z229" s="141">
        <v>4</v>
      </c>
      <c r="AA229" s="142" t="s">
        <v>25</v>
      </c>
      <c r="AB229" s="141">
        <v>30</v>
      </c>
      <c r="AC229" s="141" t="s">
        <v>8</v>
      </c>
      <c r="AD229" s="144">
        <f>AB229*'Daftar HPP'!$G$22</f>
        <v>1995</v>
      </c>
      <c r="AF229" s="141">
        <v>4</v>
      </c>
      <c r="AG229" s="142" t="s">
        <v>105</v>
      </c>
      <c r="AH229" s="141">
        <v>30</v>
      </c>
      <c r="AI229" s="141" t="s">
        <v>8</v>
      </c>
      <c r="AJ229" s="144">
        <f>AH229*'Daftar HPP'!$F$143</f>
        <v>2146.3497453310692</v>
      </c>
    </row>
    <row r="230" spans="2:36" x14ac:dyDescent="0.45">
      <c r="B230" s="141">
        <v>5</v>
      </c>
      <c r="C230" s="142" t="s">
        <v>105</v>
      </c>
      <c r="D230" s="141">
        <v>30</v>
      </c>
      <c r="E230" s="141" t="s">
        <v>8</v>
      </c>
      <c r="F230" s="144">
        <f>D230*'Daftar HPP'!$F$143</f>
        <v>2146.3497453310692</v>
      </c>
      <c r="H230" s="141">
        <v>5</v>
      </c>
      <c r="I230" s="142" t="s">
        <v>107</v>
      </c>
      <c r="J230" s="141">
        <v>30</v>
      </c>
      <c r="K230" s="141" t="s">
        <v>8</v>
      </c>
      <c r="L230" s="144">
        <f>J230*'Daftar HPP'!$L$152</f>
        <v>2144.1036802532649</v>
      </c>
      <c r="N230" s="141">
        <v>5</v>
      </c>
      <c r="O230" s="142" t="s">
        <v>26</v>
      </c>
      <c r="P230" s="141">
        <v>30</v>
      </c>
      <c r="Q230" s="141" t="s">
        <v>8</v>
      </c>
      <c r="R230" s="144">
        <f>P230*'Daftar HPP'!$L$143</f>
        <v>1647.4064221926658</v>
      </c>
      <c r="T230" s="141">
        <v>5</v>
      </c>
      <c r="U230" s="142" t="s">
        <v>105</v>
      </c>
      <c r="V230" s="141">
        <v>30</v>
      </c>
      <c r="W230" s="141" t="s">
        <v>8</v>
      </c>
      <c r="X230" s="144">
        <f>V230*'Daftar HPP'!$F$143</f>
        <v>2146.3497453310692</v>
      </c>
      <c r="Z230" s="141">
        <v>5</v>
      </c>
      <c r="AA230" s="142" t="s">
        <v>107</v>
      </c>
      <c r="AB230" s="141">
        <v>30</v>
      </c>
      <c r="AC230" s="141" t="s">
        <v>8</v>
      </c>
      <c r="AD230" s="144">
        <f>AB230*'Daftar HPP'!$L$152</f>
        <v>2144.1036802532649</v>
      </c>
      <c r="AF230" s="141">
        <v>5</v>
      </c>
      <c r="AG230" s="142" t="s">
        <v>26</v>
      </c>
      <c r="AH230" s="141">
        <v>30</v>
      </c>
      <c r="AI230" s="141" t="s">
        <v>8</v>
      </c>
      <c r="AJ230" s="144">
        <f>AH230*'Daftar HPP'!$L$143</f>
        <v>1647.4064221926658</v>
      </c>
    </row>
    <row r="231" spans="2:36" x14ac:dyDescent="0.45">
      <c r="B231" s="141">
        <v>6</v>
      </c>
      <c r="C231" s="142" t="s">
        <v>275</v>
      </c>
      <c r="D231" s="141">
        <v>1</v>
      </c>
      <c r="E231" s="141" t="s">
        <v>8</v>
      </c>
      <c r="F231" s="144">
        <f>D231*'Daftar HPP'!$G$34</f>
        <v>500</v>
      </c>
      <c r="H231" s="141">
        <v>6</v>
      </c>
      <c r="I231" s="142" t="s">
        <v>275</v>
      </c>
      <c r="J231" s="141">
        <v>1</v>
      </c>
      <c r="K231" s="141" t="s">
        <v>8</v>
      </c>
      <c r="L231" s="144">
        <f>J231*'Daftar HPP'!$G$34</f>
        <v>500</v>
      </c>
      <c r="N231" s="141">
        <v>6</v>
      </c>
      <c r="O231" s="142" t="s">
        <v>275</v>
      </c>
      <c r="P231" s="141">
        <v>1</v>
      </c>
      <c r="Q231" s="141" t="s">
        <v>8</v>
      </c>
      <c r="R231" s="144">
        <f>P231*'Daftar HPP'!$G$34</f>
        <v>500</v>
      </c>
      <c r="T231" s="141">
        <v>6</v>
      </c>
      <c r="U231" s="142" t="s">
        <v>275</v>
      </c>
      <c r="V231" s="141">
        <v>1</v>
      </c>
      <c r="W231" s="141" t="s">
        <v>8</v>
      </c>
      <c r="X231" s="144">
        <f>V231*'Daftar HPP'!$G$34</f>
        <v>500</v>
      </c>
      <c r="Z231" s="141">
        <v>6</v>
      </c>
      <c r="AA231" s="142" t="s">
        <v>275</v>
      </c>
      <c r="AB231" s="141">
        <v>1</v>
      </c>
      <c r="AC231" s="141" t="s">
        <v>8</v>
      </c>
      <c r="AD231" s="144">
        <f>AB231*'Daftar HPP'!$G$34</f>
        <v>500</v>
      </c>
      <c r="AF231" s="141">
        <v>6</v>
      </c>
      <c r="AG231" s="142" t="s">
        <v>275</v>
      </c>
      <c r="AH231" s="141">
        <v>1</v>
      </c>
      <c r="AI231" s="141" t="s">
        <v>8</v>
      </c>
      <c r="AJ231" s="144">
        <f>AH231*'Daftar HPP'!$G$34</f>
        <v>500</v>
      </c>
    </row>
    <row r="232" spans="2:36" x14ac:dyDescent="0.45">
      <c r="B232" s="141">
        <v>7</v>
      </c>
      <c r="C232" s="142" t="s">
        <v>251</v>
      </c>
      <c r="D232" s="141">
        <v>1</v>
      </c>
      <c r="E232" s="141" t="s">
        <v>28</v>
      </c>
      <c r="F232" s="144">
        <f>D232*'Daftar HPP'!$G$39</f>
        <v>1100</v>
      </c>
      <c r="H232" s="141">
        <v>7</v>
      </c>
      <c r="I232" s="142" t="s">
        <v>251</v>
      </c>
      <c r="J232" s="141">
        <v>1</v>
      </c>
      <c r="K232" s="141" t="s">
        <v>28</v>
      </c>
      <c r="L232" s="144">
        <f>J232*'Daftar HPP'!$G$39</f>
        <v>1100</v>
      </c>
      <c r="N232" s="141">
        <v>7</v>
      </c>
      <c r="O232" s="142" t="s">
        <v>251</v>
      </c>
      <c r="P232" s="141">
        <v>1</v>
      </c>
      <c r="Q232" s="141" t="s">
        <v>28</v>
      </c>
      <c r="R232" s="144">
        <f>P232*'Daftar HPP'!$G$39</f>
        <v>1100</v>
      </c>
      <c r="T232" s="141">
        <v>7</v>
      </c>
      <c r="U232" s="142" t="s">
        <v>251</v>
      </c>
      <c r="V232" s="141">
        <v>1</v>
      </c>
      <c r="W232" s="141" t="s">
        <v>28</v>
      </c>
      <c r="X232" s="144">
        <f>V232*'Daftar HPP'!$G$39</f>
        <v>1100</v>
      </c>
      <c r="Z232" s="141">
        <v>7</v>
      </c>
      <c r="AA232" s="142" t="s">
        <v>251</v>
      </c>
      <c r="AB232" s="141">
        <v>1</v>
      </c>
      <c r="AC232" s="141" t="s">
        <v>28</v>
      </c>
      <c r="AD232" s="144">
        <f>AB232*'Daftar HPP'!$G$39</f>
        <v>1100</v>
      </c>
      <c r="AF232" s="141">
        <v>7</v>
      </c>
      <c r="AG232" s="142" t="s">
        <v>251</v>
      </c>
      <c r="AH232" s="141">
        <v>1</v>
      </c>
      <c r="AI232" s="141" t="s">
        <v>28</v>
      </c>
      <c r="AJ232" s="144">
        <f>AH232*'Daftar HPP'!$G$39</f>
        <v>1100</v>
      </c>
    </row>
    <row r="233" spans="2:36" x14ac:dyDescent="0.45">
      <c r="B233" s="153"/>
      <c r="C233" s="150"/>
      <c r="D233" s="261" t="s">
        <v>53</v>
      </c>
      <c r="E233" s="261"/>
      <c r="F233" s="190">
        <f>SUM(F226:F232)</f>
        <v>13703.759432592702</v>
      </c>
      <c r="H233" s="153"/>
      <c r="I233" s="150"/>
      <c r="J233" s="261" t="s">
        <v>53</v>
      </c>
      <c r="K233" s="261"/>
      <c r="L233" s="190">
        <f>SUM(L226:L232)</f>
        <v>13602.554557446249</v>
      </c>
      <c r="N233" s="153"/>
      <c r="O233" s="150"/>
      <c r="P233" s="261" t="s">
        <v>53</v>
      </c>
      <c r="Q233" s="261"/>
      <c r="R233" s="190">
        <f>SUM(R226:R232)</f>
        <v>13257.207044716719</v>
      </c>
      <c r="T233" s="153"/>
      <c r="U233" s="150"/>
      <c r="V233" s="261" t="s">
        <v>53</v>
      </c>
      <c r="W233" s="261"/>
      <c r="X233" s="190">
        <f>SUM(X226:X232)</f>
        <v>20367.210309785685</v>
      </c>
      <c r="Z233" s="153"/>
      <c r="AA233" s="150"/>
      <c r="AB233" s="261" t="s">
        <v>53</v>
      </c>
      <c r="AC233" s="261"/>
      <c r="AD233" s="190">
        <f>SUM(AD226:AD232)</f>
        <v>20266.005434639232</v>
      </c>
      <c r="AF233" s="153"/>
      <c r="AG233" s="150"/>
      <c r="AH233" s="261" t="s">
        <v>53</v>
      </c>
      <c r="AI233" s="261"/>
      <c r="AJ233" s="190">
        <f>SUM(AJ226:AJ232)</f>
        <v>19920.657921909704</v>
      </c>
    </row>
    <row r="234" spans="2:36" x14ac:dyDescent="0.45">
      <c r="B234" s="153"/>
      <c r="C234" s="153"/>
      <c r="D234" s="256" t="s">
        <v>116</v>
      </c>
      <c r="E234" s="256"/>
      <c r="F234" s="147">
        <v>26000</v>
      </c>
      <c r="H234" s="153"/>
      <c r="I234" s="153"/>
      <c r="J234" s="256" t="s">
        <v>116</v>
      </c>
      <c r="K234" s="256"/>
      <c r="L234" s="147">
        <v>26000</v>
      </c>
      <c r="N234" s="153"/>
      <c r="O234" s="153"/>
      <c r="P234" s="256" t="s">
        <v>116</v>
      </c>
      <c r="Q234" s="256"/>
      <c r="R234" s="147">
        <v>26000</v>
      </c>
      <c r="T234" s="153"/>
      <c r="U234" s="153"/>
      <c r="V234" s="256" t="s">
        <v>116</v>
      </c>
      <c r="W234" s="256"/>
      <c r="X234" s="147">
        <v>38000</v>
      </c>
      <c r="Z234" s="153"/>
      <c r="AA234" s="153"/>
      <c r="AB234" s="256" t="s">
        <v>116</v>
      </c>
      <c r="AC234" s="256"/>
      <c r="AD234" s="147">
        <v>38000</v>
      </c>
      <c r="AF234" s="153"/>
      <c r="AG234" s="153"/>
      <c r="AH234" s="256" t="s">
        <v>116</v>
      </c>
      <c r="AI234" s="256"/>
      <c r="AJ234" s="147">
        <v>38000</v>
      </c>
    </row>
    <row r="235" spans="2:36" x14ac:dyDescent="0.45">
      <c r="B235" s="153"/>
      <c r="C235" s="153"/>
      <c r="D235" s="256" t="s">
        <v>119</v>
      </c>
      <c r="E235" s="256"/>
      <c r="F235" s="148">
        <f>F234-F233</f>
        <v>12296.240567407298</v>
      </c>
      <c r="H235" s="153"/>
      <c r="I235" s="153"/>
      <c r="J235" s="256" t="s">
        <v>119</v>
      </c>
      <c r="K235" s="256"/>
      <c r="L235" s="148">
        <f>L234-L233</f>
        <v>12397.445442553751</v>
      </c>
      <c r="N235" s="153"/>
      <c r="O235" s="153"/>
      <c r="P235" s="256" t="s">
        <v>119</v>
      </c>
      <c r="Q235" s="256"/>
      <c r="R235" s="148">
        <f>R234-R233</f>
        <v>12742.792955283281</v>
      </c>
      <c r="T235" s="153"/>
      <c r="U235" s="153"/>
      <c r="V235" s="256" t="s">
        <v>119</v>
      </c>
      <c r="W235" s="256"/>
      <c r="X235" s="148">
        <f>X234-X233</f>
        <v>17632.789690214315</v>
      </c>
      <c r="Z235" s="153"/>
      <c r="AA235" s="153"/>
      <c r="AB235" s="256" t="s">
        <v>119</v>
      </c>
      <c r="AC235" s="256"/>
      <c r="AD235" s="148">
        <f>AD234-AD233</f>
        <v>17733.994565360768</v>
      </c>
      <c r="AF235" s="153"/>
      <c r="AG235" s="153"/>
      <c r="AH235" s="256" t="s">
        <v>119</v>
      </c>
      <c r="AI235" s="256"/>
      <c r="AJ235" s="148">
        <f>AJ234-AJ233</f>
        <v>18079.342078090296</v>
      </c>
    </row>
    <row r="236" spans="2:36" x14ac:dyDescent="0.45">
      <c r="Z236" s="153"/>
      <c r="AA236" s="153"/>
      <c r="AB236" s="206"/>
      <c r="AC236" s="206"/>
      <c r="AD236" s="157"/>
    </row>
    <row r="237" spans="2:36" ht="14.65" thickBot="1" x14ac:dyDescent="0.5">
      <c r="B237" s="2" t="s">
        <v>257</v>
      </c>
      <c r="H237" s="2" t="s">
        <v>261</v>
      </c>
      <c r="T237" s="2" t="s">
        <v>257</v>
      </c>
      <c r="Z237" s="2" t="s">
        <v>261</v>
      </c>
    </row>
    <row r="238" spans="2:36" x14ac:dyDescent="0.45">
      <c r="B238" s="119" t="s">
        <v>0</v>
      </c>
      <c r="C238" s="119" t="s">
        <v>49</v>
      </c>
      <c r="D238" s="119" t="s">
        <v>34</v>
      </c>
      <c r="E238" s="119" t="s">
        <v>50</v>
      </c>
      <c r="F238" s="119" t="s">
        <v>36</v>
      </c>
      <c r="H238" s="119" t="s">
        <v>0</v>
      </c>
      <c r="I238" s="119" t="s">
        <v>49</v>
      </c>
      <c r="J238" s="119" t="s">
        <v>34</v>
      </c>
      <c r="K238" s="119" t="s">
        <v>50</v>
      </c>
      <c r="L238" s="119" t="s">
        <v>36</v>
      </c>
      <c r="T238" s="119" t="s">
        <v>0</v>
      </c>
      <c r="U238" s="119" t="s">
        <v>49</v>
      </c>
      <c r="V238" s="119" t="s">
        <v>34</v>
      </c>
      <c r="W238" s="119" t="s">
        <v>50</v>
      </c>
      <c r="X238" s="119" t="s">
        <v>36</v>
      </c>
      <c r="Z238" s="119" t="s">
        <v>0</v>
      </c>
      <c r="AA238" s="119" t="s">
        <v>49</v>
      </c>
      <c r="AB238" s="119" t="s">
        <v>34</v>
      </c>
      <c r="AC238" s="119" t="s">
        <v>50</v>
      </c>
      <c r="AD238" s="119" t="s">
        <v>36</v>
      </c>
    </row>
    <row r="239" spans="2:36" x14ac:dyDescent="0.45">
      <c r="B239" s="141">
        <v>1</v>
      </c>
      <c r="C239" s="142" t="s">
        <v>112</v>
      </c>
      <c r="D239" s="141">
        <v>1</v>
      </c>
      <c r="E239" s="141" t="s">
        <v>6</v>
      </c>
      <c r="F239" s="143">
        <f>D239*'Daftar HPP'!$L$57</f>
        <v>4875.7315789473687</v>
      </c>
      <c r="H239" s="141">
        <v>1</v>
      </c>
      <c r="I239" s="142" t="s">
        <v>112</v>
      </c>
      <c r="J239" s="141">
        <v>1</v>
      </c>
      <c r="K239" s="141" t="s">
        <v>6</v>
      </c>
      <c r="L239" s="143">
        <f>J239*'Daftar HPP'!$L$57</f>
        <v>4875.7315789473687</v>
      </c>
      <c r="T239" s="141">
        <v>1</v>
      </c>
      <c r="U239" s="142" t="s">
        <v>112</v>
      </c>
      <c r="V239" s="141">
        <v>2</v>
      </c>
      <c r="W239" s="141" t="s">
        <v>6</v>
      </c>
      <c r="X239" s="143">
        <f>V239*'Daftar HPP'!$L$57</f>
        <v>9751.4631578947374</v>
      </c>
      <c r="Z239" s="141">
        <v>1</v>
      </c>
      <c r="AA239" s="142" t="s">
        <v>112</v>
      </c>
      <c r="AB239" s="141">
        <v>2</v>
      </c>
      <c r="AC239" s="141" t="s">
        <v>6</v>
      </c>
      <c r="AD239" s="143">
        <f>AB239*'Daftar HPP'!$L$57</f>
        <v>9751.4631578947374</v>
      </c>
    </row>
    <row r="240" spans="2:36" x14ac:dyDescent="0.45">
      <c r="B240" s="141">
        <v>2</v>
      </c>
      <c r="C240" s="142" t="s">
        <v>19</v>
      </c>
      <c r="D240" s="141">
        <v>40</v>
      </c>
      <c r="E240" s="141" t="s">
        <v>8</v>
      </c>
      <c r="F240" s="143">
        <f>D240*'Daftar HPP'!$L$114</f>
        <v>1787.719298245614</v>
      </c>
      <c r="H240" s="141">
        <v>2</v>
      </c>
      <c r="I240" s="142" t="s">
        <v>19</v>
      </c>
      <c r="J240" s="141">
        <v>40</v>
      </c>
      <c r="K240" s="141" t="s">
        <v>8</v>
      </c>
      <c r="L240" s="143">
        <f>J240*'Daftar HPP'!$L$114</f>
        <v>1787.719298245614</v>
      </c>
      <c r="T240" s="141">
        <v>2</v>
      </c>
      <c r="U240" s="142" t="s">
        <v>19</v>
      </c>
      <c r="V240" s="141">
        <v>80</v>
      </c>
      <c r="W240" s="141" t="s">
        <v>8</v>
      </c>
      <c r="X240" s="143">
        <f>V240*'Daftar HPP'!$L$114</f>
        <v>3575.4385964912281</v>
      </c>
      <c r="Z240" s="141">
        <v>2</v>
      </c>
      <c r="AA240" s="142" t="s">
        <v>19</v>
      </c>
      <c r="AB240" s="141">
        <v>80</v>
      </c>
      <c r="AC240" s="141" t="s">
        <v>8</v>
      </c>
      <c r="AD240" s="143">
        <f>AB240*'Daftar HPP'!$L$114</f>
        <v>3575.4385964912281</v>
      </c>
    </row>
    <row r="241" spans="2:36" x14ac:dyDescent="0.45">
      <c r="B241" s="141">
        <v>3</v>
      </c>
      <c r="C241" s="142" t="s">
        <v>271</v>
      </c>
      <c r="D241" s="141">
        <v>1</v>
      </c>
      <c r="E241" s="141" t="s">
        <v>118</v>
      </c>
      <c r="F241" s="143">
        <f>D241*'Daftar HPP'!$G$13</f>
        <v>1200</v>
      </c>
      <c r="H241" s="141">
        <v>3</v>
      </c>
      <c r="I241" s="142" t="s">
        <v>271</v>
      </c>
      <c r="J241" s="141">
        <v>1</v>
      </c>
      <c r="K241" s="141" t="s">
        <v>118</v>
      </c>
      <c r="L241" s="143">
        <f>J241*'Daftar HPP'!$G$13</f>
        <v>1200</v>
      </c>
      <c r="T241" s="141">
        <v>3</v>
      </c>
      <c r="U241" s="142" t="s">
        <v>271</v>
      </c>
      <c r="V241" s="141">
        <v>1</v>
      </c>
      <c r="W241" s="141" t="s">
        <v>118</v>
      </c>
      <c r="X241" s="143">
        <f>V241*'Daftar HPP'!$G$13</f>
        <v>1200</v>
      </c>
      <c r="Z241" s="141">
        <v>3</v>
      </c>
      <c r="AA241" s="142" t="s">
        <v>271</v>
      </c>
      <c r="AB241" s="141">
        <v>1</v>
      </c>
      <c r="AC241" s="141" t="s">
        <v>118</v>
      </c>
      <c r="AD241" s="143">
        <f>AB241*'Daftar HPP'!$G$13</f>
        <v>1200</v>
      </c>
    </row>
    <row r="242" spans="2:36" x14ac:dyDescent="0.45">
      <c r="B242" s="141">
        <v>4</v>
      </c>
      <c r="C242" s="142" t="s">
        <v>17</v>
      </c>
      <c r="D242" s="141">
        <v>30</v>
      </c>
      <c r="E242" s="141" t="s">
        <v>8</v>
      </c>
      <c r="F242" s="144">
        <f>D242*'Daftar HPP'!$F$152</f>
        <v>2093.9588100686497</v>
      </c>
      <c r="H242" s="141">
        <v>4</v>
      </c>
      <c r="I242" s="142" t="s">
        <v>25</v>
      </c>
      <c r="J242" s="141">
        <v>30</v>
      </c>
      <c r="K242" s="141" t="s">
        <v>8</v>
      </c>
      <c r="L242" s="144">
        <f>J242*'Daftar HPP'!$G$22</f>
        <v>1995</v>
      </c>
      <c r="T242" s="141">
        <v>4</v>
      </c>
      <c r="U242" s="142" t="s">
        <v>17</v>
      </c>
      <c r="V242" s="141">
        <v>30</v>
      </c>
      <c r="W242" s="141" t="s">
        <v>8</v>
      </c>
      <c r="X242" s="144">
        <f>V242*'Daftar HPP'!$F$152</f>
        <v>2093.9588100686497</v>
      </c>
      <c r="Z242" s="141">
        <v>4</v>
      </c>
      <c r="AA242" s="142" t="s">
        <v>25</v>
      </c>
      <c r="AB242" s="141">
        <v>30</v>
      </c>
      <c r="AC242" s="141" t="s">
        <v>8</v>
      </c>
      <c r="AD242" s="144">
        <f>AB242*'Daftar HPP'!$G$22</f>
        <v>1995</v>
      </c>
    </row>
    <row r="243" spans="2:36" x14ac:dyDescent="0.45">
      <c r="B243" s="141">
        <v>5</v>
      </c>
      <c r="C243" s="142" t="s">
        <v>107</v>
      </c>
      <c r="D243" s="141">
        <v>30</v>
      </c>
      <c r="E243" s="141" t="s">
        <v>8</v>
      </c>
      <c r="F243" s="144">
        <f>D243*'Daftar HPP'!$L$152</f>
        <v>2144.1036802532649</v>
      </c>
      <c r="H243" s="141">
        <v>5</v>
      </c>
      <c r="I243" s="142" t="s">
        <v>26</v>
      </c>
      <c r="J243" s="141">
        <v>30</v>
      </c>
      <c r="K243" s="141" t="s">
        <v>8</v>
      </c>
      <c r="L243" s="144">
        <f>J243*'Daftar HPP'!$L$143</f>
        <v>1647.4064221926658</v>
      </c>
      <c r="T243" s="141">
        <v>5</v>
      </c>
      <c r="U243" s="142" t="s">
        <v>107</v>
      </c>
      <c r="V243" s="141">
        <v>30</v>
      </c>
      <c r="W243" s="141" t="s">
        <v>8</v>
      </c>
      <c r="X243" s="144">
        <f>V243*'Daftar HPP'!$L$152</f>
        <v>2144.1036802532649</v>
      </c>
      <c r="Z243" s="141">
        <v>5</v>
      </c>
      <c r="AA243" s="142" t="s">
        <v>26</v>
      </c>
      <c r="AB243" s="141">
        <v>30</v>
      </c>
      <c r="AC243" s="141" t="s">
        <v>8</v>
      </c>
      <c r="AD243" s="144">
        <f>AB243*'Daftar HPP'!$L$143</f>
        <v>1647.4064221926658</v>
      </c>
    </row>
    <row r="244" spans="2:36" x14ac:dyDescent="0.45">
      <c r="B244" s="141">
        <v>6</v>
      </c>
      <c r="C244" s="142" t="s">
        <v>275</v>
      </c>
      <c r="D244" s="141">
        <v>1</v>
      </c>
      <c r="E244" s="141" t="s">
        <v>8</v>
      </c>
      <c r="F244" s="144">
        <f>D244*'Daftar HPP'!$G$34</f>
        <v>500</v>
      </c>
      <c r="H244" s="141">
        <v>6</v>
      </c>
      <c r="I244" s="142" t="s">
        <v>275</v>
      </c>
      <c r="J244" s="141">
        <v>1</v>
      </c>
      <c r="K244" s="141" t="s">
        <v>8</v>
      </c>
      <c r="L244" s="144">
        <f>J244*'Daftar HPP'!$G$34</f>
        <v>500</v>
      </c>
      <c r="T244" s="141">
        <v>6</v>
      </c>
      <c r="U244" s="142" t="s">
        <v>275</v>
      </c>
      <c r="V244" s="141">
        <v>1</v>
      </c>
      <c r="W244" s="141" t="s">
        <v>8</v>
      </c>
      <c r="X244" s="144">
        <f>V244*'Daftar HPP'!$G$34</f>
        <v>500</v>
      </c>
      <c r="Z244" s="141">
        <v>6</v>
      </c>
      <c r="AA244" s="142" t="s">
        <v>275</v>
      </c>
      <c r="AB244" s="141">
        <v>1</v>
      </c>
      <c r="AC244" s="141" t="s">
        <v>8</v>
      </c>
      <c r="AD244" s="144">
        <f>AB244*'Daftar HPP'!$G$34</f>
        <v>500</v>
      </c>
    </row>
    <row r="245" spans="2:36" x14ac:dyDescent="0.45">
      <c r="B245" s="141">
        <v>7</v>
      </c>
      <c r="C245" s="142" t="s">
        <v>251</v>
      </c>
      <c r="D245" s="141">
        <v>1</v>
      </c>
      <c r="E245" s="141" t="s">
        <v>28</v>
      </c>
      <c r="F245" s="144">
        <f>D245*'Daftar HPP'!$G$39</f>
        <v>1100</v>
      </c>
      <c r="H245" s="141">
        <v>7</v>
      </c>
      <c r="I245" s="142" t="s">
        <v>251</v>
      </c>
      <c r="J245" s="141">
        <v>1</v>
      </c>
      <c r="K245" s="141" t="s">
        <v>28</v>
      </c>
      <c r="L245" s="144">
        <f>J245*'Daftar HPP'!$G$39</f>
        <v>1100</v>
      </c>
      <c r="T245" s="141">
        <v>7</v>
      </c>
      <c r="U245" s="142" t="s">
        <v>251</v>
      </c>
      <c r="V245" s="141">
        <v>1</v>
      </c>
      <c r="W245" s="141" t="s">
        <v>28</v>
      </c>
      <c r="X245" s="144">
        <f>V245*'Daftar HPP'!$G$39</f>
        <v>1100</v>
      </c>
      <c r="Z245" s="141">
        <v>7</v>
      </c>
      <c r="AA245" s="142" t="s">
        <v>251</v>
      </c>
      <c r="AB245" s="141">
        <v>1</v>
      </c>
      <c r="AC245" s="141" t="s">
        <v>28</v>
      </c>
      <c r="AD245" s="144">
        <f>AB245*'Daftar HPP'!$G$39</f>
        <v>1100</v>
      </c>
    </row>
    <row r="246" spans="2:36" x14ac:dyDescent="0.45">
      <c r="B246" s="153"/>
      <c r="C246" s="150"/>
      <c r="D246" s="261" t="s">
        <v>53</v>
      </c>
      <c r="E246" s="261"/>
      <c r="F246" s="190">
        <f>SUM(F239:F245)</f>
        <v>13701.513367514897</v>
      </c>
      <c r="H246" s="153"/>
      <c r="I246" s="150"/>
      <c r="J246" s="257" t="s">
        <v>53</v>
      </c>
      <c r="K246" s="258"/>
      <c r="L246" s="190">
        <f>SUM(L239:L245)</f>
        <v>13105.857299385649</v>
      </c>
      <c r="T246" s="153"/>
      <c r="U246" s="150"/>
      <c r="V246" s="261" t="s">
        <v>53</v>
      </c>
      <c r="W246" s="261"/>
      <c r="X246" s="190">
        <f>SUM(X239:X245)</f>
        <v>20364.96424470788</v>
      </c>
      <c r="Z246" s="153"/>
      <c r="AA246" s="150"/>
      <c r="AB246" s="257" t="s">
        <v>53</v>
      </c>
      <c r="AC246" s="258"/>
      <c r="AD246" s="190">
        <f>SUM(AD239:AD245)</f>
        <v>19769.308176578634</v>
      </c>
    </row>
    <row r="247" spans="2:36" x14ac:dyDescent="0.45">
      <c r="B247" s="153"/>
      <c r="C247" s="153"/>
      <c r="D247" s="256" t="s">
        <v>116</v>
      </c>
      <c r="E247" s="256"/>
      <c r="F247" s="147">
        <v>26000</v>
      </c>
      <c r="H247" s="153"/>
      <c r="I247" s="153"/>
      <c r="J247" s="251" t="s">
        <v>116</v>
      </c>
      <c r="K247" s="252"/>
      <c r="L247" s="147">
        <v>26000</v>
      </c>
      <c r="T247" s="153"/>
      <c r="U247" s="153"/>
      <c r="V247" s="256" t="s">
        <v>116</v>
      </c>
      <c r="W247" s="256"/>
      <c r="X247" s="147">
        <v>38000</v>
      </c>
      <c r="Z247" s="153"/>
      <c r="AA247" s="153"/>
      <c r="AB247" s="251" t="s">
        <v>116</v>
      </c>
      <c r="AC247" s="252"/>
      <c r="AD247" s="147">
        <v>38000</v>
      </c>
    </row>
    <row r="248" spans="2:36" x14ac:dyDescent="0.45">
      <c r="B248" s="153"/>
      <c r="C248" s="153"/>
      <c r="D248" s="256" t="s">
        <v>119</v>
      </c>
      <c r="E248" s="256"/>
      <c r="F248" s="148">
        <f>F247-F246</f>
        <v>12298.486632485103</v>
      </c>
      <c r="H248" s="153"/>
      <c r="I248" s="153"/>
      <c r="J248" s="256" t="s">
        <v>119</v>
      </c>
      <c r="K248" s="256"/>
      <c r="L248" s="148">
        <f>L247-L246</f>
        <v>12894.142700614351</v>
      </c>
      <c r="T248" s="153"/>
      <c r="U248" s="153"/>
      <c r="V248" s="256" t="s">
        <v>119</v>
      </c>
      <c r="W248" s="256"/>
      <c r="X248" s="148">
        <f>X247-X246</f>
        <v>17635.03575529212</v>
      </c>
      <c r="Z248" s="153"/>
      <c r="AA248" s="153"/>
      <c r="AB248" s="256" t="s">
        <v>119</v>
      </c>
      <c r="AC248" s="256"/>
      <c r="AD248" s="148">
        <f>AD247-AD246</f>
        <v>18230.691823421366</v>
      </c>
    </row>
    <row r="249" spans="2:36" x14ac:dyDescent="0.45">
      <c r="B249" s="153"/>
      <c r="C249" s="153"/>
      <c r="D249" s="206"/>
      <c r="E249" s="206"/>
      <c r="F249" s="157"/>
      <c r="N249" s="153"/>
      <c r="O249" s="153"/>
      <c r="P249" s="206"/>
      <c r="Q249" s="206"/>
      <c r="R249" s="157"/>
      <c r="T249" s="153"/>
      <c r="U249" s="153"/>
      <c r="V249" s="206"/>
      <c r="W249" s="206"/>
      <c r="X249" s="157"/>
      <c r="AF249" s="153"/>
      <c r="AG249" s="153"/>
      <c r="AH249" s="206"/>
      <c r="AI249" s="206"/>
      <c r="AJ249" s="157"/>
    </row>
    <row r="250" spans="2:36" ht="14.65" thickBot="1" x14ac:dyDescent="0.5">
      <c r="B250" s="2" t="s">
        <v>258</v>
      </c>
      <c r="H250" s="2" t="s">
        <v>262</v>
      </c>
      <c r="N250" s="153"/>
      <c r="O250" s="153"/>
      <c r="P250" s="206"/>
      <c r="Q250" s="206"/>
      <c r="R250" s="157"/>
      <c r="T250" s="2" t="s">
        <v>258</v>
      </c>
      <c r="Z250" s="2" t="s">
        <v>262</v>
      </c>
      <c r="AF250" s="153"/>
      <c r="AG250" s="153"/>
      <c r="AH250" s="206"/>
      <c r="AI250" s="206"/>
      <c r="AJ250" s="157"/>
    </row>
    <row r="251" spans="2:36" x14ac:dyDescent="0.45">
      <c r="B251" s="119" t="s">
        <v>0</v>
      </c>
      <c r="C251" s="119" t="s">
        <v>49</v>
      </c>
      <c r="D251" s="119" t="s">
        <v>34</v>
      </c>
      <c r="E251" s="119" t="s">
        <v>50</v>
      </c>
      <c r="F251" s="119" t="s">
        <v>36</v>
      </c>
      <c r="H251" s="119" t="s">
        <v>0</v>
      </c>
      <c r="I251" s="119" t="s">
        <v>49</v>
      </c>
      <c r="J251" s="119" t="s">
        <v>34</v>
      </c>
      <c r="K251" s="119" t="s">
        <v>50</v>
      </c>
      <c r="L251" s="119" t="s">
        <v>36</v>
      </c>
      <c r="N251" s="153"/>
      <c r="O251" s="153"/>
      <c r="P251" s="206"/>
      <c r="Q251" s="206"/>
      <c r="R251" s="157"/>
      <c r="T251" s="119" t="s">
        <v>0</v>
      </c>
      <c r="U251" s="119" t="s">
        <v>49</v>
      </c>
      <c r="V251" s="119" t="s">
        <v>34</v>
      </c>
      <c r="W251" s="119" t="s">
        <v>50</v>
      </c>
      <c r="X251" s="119" t="s">
        <v>36</v>
      </c>
      <c r="Z251" s="119" t="s">
        <v>0</v>
      </c>
      <c r="AA251" s="119" t="s">
        <v>49</v>
      </c>
      <c r="AB251" s="119" t="s">
        <v>34</v>
      </c>
      <c r="AC251" s="119" t="s">
        <v>50</v>
      </c>
      <c r="AD251" s="119" t="s">
        <v>36</v>
      </c>
      <c r="AF251" s="153"/>
      <c r="AG251" s="153"/>
      <c r="AH251" s="206"/>
      <c r="AI251" s="206"/>
      <c r="AJ251" s="157"/>
    </row>
    <row r="252" spans="2:36" x14ac:dyDescent="0.45">
      <c r="B252" s="141">
        <v>1</v>
      </c>
      <c r="C252" s="142" t="s">
        <v>112</v>
      </c>
      <c r="D252" s="141">
        <v>1</v>
      </c>
      <c r="E252" s="141" t="s">
        <v>6</v>
      </c>
      <c r="F252" s="143">
        <f>D252*'Daftar HPP'!$L$57</f>
        <v>4875.7315789473687</v>
      </c>
      <c r="H252" s="141">
        <v>1</v>
      </c>
      <c r="I252" s="142" t="s">
        <v>112</v>
      </c>
      <c r="J252" s="141">
        <v>1</v>
      </c>
      <c r="K252" s="141" t="s">
        <v>6</v>
      </c>
      <c r="L252" s="143">
        <f>J252*'Daftar HPP'!$L$57</f>
        <v>4875.7315789473687</v>
      </c>
      <c r="N252" s="153"/>
      <c r="O252" s="153"/>
      <c r="P252" s="206"/>
      <c r="Q252" s="206"/>
      <c r="R252" s="157"/>
      <c r="T252" s="141">
        <v>1</v>
      </c>
      <c r="U252" s="142" t="s">
        <v>112</v>
      </c>
      <c r="V252" s="141">
        <v>2</v>
      </c>
      <c r="W252" s="141" t="s">
        <v>6</v>
      </c>
      <c r="X252" s="143">
        <f>V252*'Daftar HPP'!$L$57</f>
        <v>9751.4631578947374</v>
      </c>
      <c r="Z252" s="141">
        <v>1</v>
      </c>
      <c r="AA252" s="142" t="s">
        <v>112</v>
      </c>
      <c r="AB252" s="141">
        <v>2</v>
      </c>
      <c r="AC252" s="141" t="s">
        <v>6</v>
      </c>
      <c r="AD252" s="143">
        <f>AB252*'Daftar HPP'!$L$57</f>
        <v>9751.4631578947374</v>
      </c>
      <c r="AF252" s="153"/>
      <c r="AG252" s="153"/>
      <c r="AH252" s="206"/>
      <c r="AI252" s="206"/>
      <c r="AJ252" s="157"/>
    </row>
    <row r="253" spans="2:36" x14ac:dyDescent="0.45">
      <c r="B253" s="141">
        <v>2</v>
      </c>
      <c r="C253" s="142" t="s">
        <v>19</v>
      </c>
      <c r="D253" s="141">
        <v>40</v>
      </c>
      <c r="E253" s="141" t="s">
        <v>8</v>
      </c>
      <c r="F253" s="143">
        <f>D253*'Daftar HPP'!$L$114</f>
        <v>1787.719298245614</v>
      </c>
      <c r="H253" s="141">
        <v>2</v>
      </c>
      <c r="I253" s="142" t="s">
        <v>19</v>
      </c>
      <c r="J253" s="141">
        <v>40</v>
      </c>
      <c r="K253" s="141" t="s">
        <v>8</v>
      </c>
      <c r="L253" s="143">
        <f>J253*'Daftar HPP'!$L$114</f>
        <v>1787.719298245614</v>
      </c>
      <c r="N253" s="153"/>
      <c r="O253" s="153"/>
      <c r="P253" s="206"/>
      <c r="Q253" s="206"/>
      <c r="R253" s="157"/>
      <c r="T253" s="141">
        <v>2</v>
      </c>
      <c r="U253" s="142" t="s">
        <v>19</v>
      </c>
      <c r="V253" s="141">
        <v>80</v>
      </c>
      <c r="W253" s="141" t="s">
        <v>8</v>
      </c>
      <c r="X253" s="143">
        <f>V253*'Daftar HPP'!$L$114</f>
        <v>3575.4385964912281</v>
      </c>
      <c r="Z253" s="141">
        <v>2</v>
      </c>
      <c r="AA253" s="142" t="s">
        <v>19</v>
      </c>
      <c r="AB253" s="141">
        <v>80</v>
      </c>
      <c r="AC253" s="141" t="s">
        <v>8</v>
      </c>
      <c r="AD253" s="143">
        <f>AB253*'Daftar HPP'!$L$114</f>
        <v>3575.4385964912281</v>
      </c>
      <c r="AF253" s="153"/>
      <c r="AG253" s="153"/>
      <c r="AH253" s="206"/>
      <c r="AI253" s="206"/>
      <c r="AJ253" s="157"/>
    </row>
    <row r="254" spans="2:36" x14ac:dyDescent="0.45">
      <c r="B254" s="141">
        <v>3</v>
      </c>
      <c r="C254" s="142" t="s">
        <v>271</v>
      </c>
      <c r="D254" s="141">
        <v>1</v>
      </c>
      <c r="E254" s="141" t="s">
        <v>118</v>
      </c>
      <c r="F254" s="143">
        <f>D254*'Daftar HPP'!$G$13</f>
        <v>1200</v>
      </c>
      <c r="H254" s="141">
        <v>3</v>
      </c>
      <c r="I254" s="142" t="s">
        <v>271</v>
      </c>
      <c r="J254" s="141">
        <v>1</v>
      </c>
      <c r="K254" s="141" t="s">
        <v>118</v>
      </c>
      <c r="L254" s="143">
        <f>J254*'Daftar HPP'!$G$13</f>
        <v>1200</v>
      </c>
      <c r="N254" s="153"/>
      <c r="O254" s="153"/>
      <c r="P254" s="206"/>
      <c r="Q254" s="206"/>
      <c r="R254" s="157"/>
      <c r="T254" s="141">
        <v>3</v>
      </c>
      <c r="U254" s="142" t="s">
        <v>271</v>
      </c>
      <c r="V254" s="141">
        <v>1</v>
      </c>
      <c r="W254" s="141" t="s">
        <v>118</v>
      </c>
      <c r="X254" s="143">
        <f>V254*'Daftar HPP'!$G$13</f>
        <v>1200</v>
      </c>
      <c r="Z254" s="141">
        <v>3</v>
      </c>
      <c r="AA254" s="142" t="s">
        <v>271</v>
      </c>
      <c r="AB254" s="141">
        <v>1</v>
      </c>
      <c r="AC254" s="141" t="s">
        <v>118</v>
      </c>
      <c r="AD254" s="143">
        <f>AB254*'Daftar HPP'!$G$13</f>
        <v>1200</v>
      </c>
      <c r="AF254" s="153"/>
      <c r="AG254" s="153"/>
      <c r="AH254" s="206"/>
      <c r="AI254" s="206"/>
      <c r="AJ254" s="157"/>
    </row>
    <row r="255" spans="2:36" x14ac:dyDescent="0.45">
      <c r="B255" s="141">
        <v>4</v>
      </c>
      <c r="C255" s="142" t="s">
        <v>17</v>
      </c>
      <c r="D255" s="141">
        <v>30</v>
      </c>
      <c r="E255" s="141" t="s">
        <v>8</v>
      </c>
      <c r="F255" s="144">
        <f>D255*'Daftar HPP'!$F$152</f>
        <v>2093.9588100686497</v>
      </c>
      <c r="H255" s="141">
        <v>4</v>
      </c>
      <c r="I255" s="142" t="s">
        <v>107</v>
      </c>
      <c r="J255" s="141">
        <v>30</v>
      </c>
      <c r="K255" s="141" t="s">
        <v>8</v>
      </c>
      <c r="L255" s="144">
        <f>J255*'Daftar HPP'!$L$152</f>
        <v>2144.1036802532649</v>
      </c>
      <c r="N255" s="153"/>
      <c r="O255" s="153"/>
      <c r="P255" s="206"/>
      <c r="Q255" s="206"/>
      <c r="R255" s="157"/>
      <c r="T255" s="141">
        <v>4</v>
      </c>
      <c r="U255" s="142" t="s">
        <v>17</v>
      </c>
      <c r="V255" s="141">
        <v>30</v>
      </c>
      <c r="W255" s="141" t="s">
        <v>8</v>
      </c>
      <c r="X255" s="144">
        <f>V255*'Daftar HPP'!$F$152</f>
        <v>2093.9588100686497</v>
      </c>
      <c r="Z255" s="141">
        <v>4</v>
      </c>
      <c r="AA255" s="142" t="s">
        <v>107</v>
      </c>
      <c r="AB255" s="141">
        <v>30</v>
      </c>
      <c r="AC255" s="141" t="s">
        <v>8</v>
      </c>
      <c r="AD255" s="144">
        <f>AB255*'Daftar HPP'!$L$152</f>
        <v>2144.1036802532649</v>
      </c>
      <c r="AF255" s="153"/>
      <c r="AG255" s="153"/>
      <c r="AH255" s="206"/>
      <c r="AI255" s="206"/>
      <c r="AJ255" s="157"/>
    </row>
    <row r="256" spans="2:36" x14ac:dyDescent="0.45">
      <c r="B256" s="141">
        <v>5</v>
      </c>
      <c r="C256" s="142" t="s">
        <v>26</v>
      </c>
      <c r="D256" s="141">
        <v>30</v>
      </c>
      <c r="E256" s="141" t="s">
        <v>8</v>
      </c>
      <c r="F256" s="144">
        <f>D256*'Daftar HPP'!$L$143</f>
        <v>1647.4064221926658</v>
      </c>
      <c r="H256" s="141">
        <v>5</v>
      </c>
      <c r="I256" s="142" t="s">
        <v>105</v>
      </c>
      <c r="J256" s="141">
        <v>30</v>
      </c>
      <c r="K256" s="141" t="s">
        <v>8</v>
      </c>
      <c r="L256" s="144">
        <f>J256*'Daftar HPP'!$F$143</f>
        <v>2146.3497453310692</v>
      </c>
      <c r="N256" s="153"/>
      <c r="O256" s="153"/>
      <c r="P256" s="206"/>
      <c r="Q256" s="206"/>
      <c r="R256" s="157"/>
      <c r="T256" s="141">
        <v>5</v>
      </c>
      <c r="U256" s="142" t="s">
        <v>26</v>
      </c>
      <c r="V256" s="141">
        <v>30</v>
      </c>
      <c r="W256" s="141" t="s">
        <v>8</v>
      </c>
      <c r="X256" s="144">
        <f>V256*'Daftar HPP'!$L$143</f>
        <v>1647.4064221926658</v>
      </c>
      <c r="Z256" s="141">
        <v>5</v>
      </c>
      <c r="AA256" s="142" t="s">
        <v>105</v>
      </c>
      <c r="AB256" s="141">
        <v>30</v>
      </c>
      <c r="AC256" s="141" t="s">
        <v>8</v>
      </c>
      <c r="AD256" s="144">
        <f>AB256*'Daftar HPP'!$F$143</f>
        <v>2146.3497453310692</v>
      </c>
      <c r="AF256" s="153"/>
      <c r="AG256" s="153"/>
      <c r="AH256" s="206"/>
      <c r="AI256" s="206"/>
      <c r="AJ256" s="157"/>
    </row>
    <row r="257" spans="2:36" x14ac:dyDescent="0.45">
      <c r="B257" s="141">
        <v>6</v>
      </c>
      <c r="C257" s="142" t="s">
        <v>275</v>
      </c>
      <c r="D257" s="141">
        <v>1</v>
      </c>
      <c r="E257" s="141" t="s">
        <v>8</v>
      </c>
      <c r="F257" s="144">
        <f>D257*'Daftar HPP'!$G$34</f>
        <v>500</v>
      </c>
      <c r="H257" s="141">
        <v>6</v>
      </c>
      <c r="I257" s="142" t="s">
        <v>275</v>
      </c>
      <c r="J257" s="141">
        <v>1</v>
      </c>
      <c r="K257" s="141" t="s">
        <v>8</v>
      </c>
      <c r="L257" s="144">
        <f>J257*'Daftar HPP'!$G$34</f>
        <v>500</v>
      </c>
      <c r="N257" s="153"/>
      <c r="O257" s="153"/>
      <c r="P257" s="206"/>
      <c r="Q257" s="206"/>
      <c r="R257" s="157"/>
      <c r="T257" s="141">
        <v>6</v>
      </c>
      <c r="U257" s="142" t="s">
        <v>275</v>
      </c>
      <c r="V257" s="141">
        <v>1</v>
      </c>
      <c r="W257" s="141" t="s">
        <v>8</v>
      </c>
      <c r="X257" s="144">
        <f>V257*'Daftar HPP'!$G$34</f>
        <v>500</v>
      </c>
      <c r="Z257" s="141">
        <v>6</v>
      </c>
      <c r="AA257" s="142" t="s">
        <v>275</v>
      </c>
      <c r="AB257" s="141">
        <v>1</v>
      </c>
      <c r="AC257" s="141" t="s">
        <v>8</v>
      </c>
      <c r="AD257" s="144">
        <f>AB257*'Daftar HPP'!$G$34</f>
        <v>500</v>
      </c>
      <c r="AF257" s="153"/>
      <c r="AG257" s="153"/>
      <c r="AH257" s="206"/>
      <c r="AI257" s="206"/>
      <c r="AJ257" s="157"/>
    </row>
    <row r="258" spans="2:36" x14ac:dyDescent="0.45">
      <c r="B258" s="141">
        <v>7</v>
      </c>
      <c r="C258" s="142" t="s">
        <v>251</v>
      </c>
      <c r="D258" s="141">
        <v>1</v>
      </c>
      <c r="E258" s="141" t="s">
        <v>28</v>
      </c>
      <c r="F258" s="144">
        <f>D258*'Daftar HPP'!$G$39</f>
        <v>1100</v>
      </c>
      <c r="H258" s="141">
        <v>7</v>
      </c>
      <c r="I258" s="142" t="s">
        <v>251</v>
      </c>
      <c r="J258" s="141">
        <v>1</v>
      </c>
      <c r="K258" s="141" t="s">
        <v>28</v>
      </c>
      <c r="L258" s="144">
        <f>J258*'Daftar HPP'!$G$39</f>
        <v>1100</v>
      </c>
      <c r="N258" s="153"/>
      <c r="O258" s="153"/>
      <c r="P258" s="206"/>
      <c r="Q258" s="206"/>
      <c r="R258" s="157"/>
      <c r="T258" s="141">
        <v>7</v>
      </c>
      <c r="U258" s="142" t="s">
        <v>251</v>
      </c>
      <c r="V258" s="141">
        <v>1</v>
      </c>
      <c r="W258" s="141" t="s">
        <v>28</v>
      </c>
      <c r="X258" s="144">
        <f>V258*'Daftar HPP'!$G$39</f>
        <v>1100</v>
      </c>
      <c r="Z258" s="141">
        <v>7</v>
      </c>
      <c r="AA258" s="142" t="s">
        <v>251</v>
      </c>
      <c r="AB258" s="141">
        <v>1</v>
      </c>
      <c r="AC258" s="141" t="s">
        <v>28</v>
      </c>
      <c r="AD258" s="144">
        <f>AB258*'Daftar HPP'!$G$39</f>
        <v>1100</v>
      </c>
      <c r="AF258" s="153"/>
      <c r="AG258" s="153"/>
      <c r="AH258" s="206"/>
      <c r="AI258" s="206"/>
      <c r="AJ258" s="157"/>
    </row>
    <row r="259" spans="2:36" x14ac:dyDescent="0.45">
      <c r="B259" s="153"/>
      <c r="C259" s="150"/>
      <c r="D259" s="261" t="s">
        <v>53</v>
      </c>
      <c r="E259" s="261"/>
      <c r="F259" s="190">
        <f>SUM(F252:F258)</f>
        <v>13204.816109454297</v>
      </c>
      <c r="H259" s="153"/>
      <c r="I259" s="150"/>
      <c r="J259" s="261" t="s">
        <v>53</v>
      </c>
      <c r="K259" s="261"/>
      <c r="L259" s="190">
        <f>SUM(L252:L258)</f>
        <v>13753.904302777319</v>
      </c>
      <c r="N259" s="153"/>
      <c r="O259" s="153"/>
      <c r="P259" s="206"/>
      <c r="Q259" s="206"/>
      <c r="R259" s="157"/>
      <c r="T259" s="153"/>
      <c r="U259" s="150"/>
      <c r="V259" s="261" t="s">
        <v>53</v>
      </c>
      <c r="W259" s="261"/>
      <c r="X259" s="190">
        <f>SUM(X252:X258)</f>
        <v>19868.266986647282</v>
      </c>
      <c r="Z259" s="153"/>
      <c r="AA259" s="150"/>
      <c r="AB259" s="261" t="s">
        <v>53</v>
      </c>
      <c r="AC259" s="261"/>
      <c r="AD259" s="190">
        <f>SUM(AD252:AD258)</f>
        <v>20417.355179970302</v>
      </c>
      <c r="AF259" s="153"/>
      <c r="AG259" s="153"/>
      <c r="AH259" s="206"/>
      <c r="AI259" s="206"/>
      <c r="AJ259" s="157"/>
    </row>
    <row r="260" spans="2:36" x14ac:dyDescent="0.45">
      <c r="B260" s="153"/>
      <c r="C260" s="153"/>
      <c r="D260" s="256" t="s">
        <v>116</v>
      </c>
      <c r="E260" s="256"/>
      <c r="F260" s="147">
        <v>26000</v>
      </c>
      <c r="H260" s="153"/>
      <c r="I260" s="153"/>
      <c r="J260" s="256" t="s">
        <v>116</v>
      </c>
      <c r="K260" s="256"/>
      <c r="L260" s="147">
        <v>26000</v>
      </c>
      <c r="N260" s="153"/>
      <c r="O260" s="153"/>
      <c r="P260" s="206"/>
      <c r="Q260" s="206"/>
      <c r="R260" s="157"/>
      <c r="T260" s="153"/>
      <c r="U260" s="153"/>
      <c r="V260" s="256" t="s">
        <v>116</v>
      </c>
      <c r="W260" s="256"/>
      <c r="X260" s="147">
        <v>38000</v>
      </c>
      <c r="Z260" s="153"/>
      <c r="AA260" s="153"/>
      <c r="AB260" s="256" t="s">
        <v>116</v>
      </c>
      <c r="AC260" s="256"/>
      <c r="AD260" s="147">
        <v>38000</v>
      </c>
      <c r="AF260" s="153"/>
      <c r="AG260" s="153"/>
      <c r="AH260" s="206"/>
      <c r="AI260" s="206"/>
      <c r="AJ260" s="157"/>
    </row>
    <row r="261" spans="2:36" x14ac:dyDescent="0.45">
      <c r="B261" s="153"/>
      <c r="C261" s="153"/>
      <c r="D261" s="256" t="s">
        <v>119</v>
      </c>
      <c r="E261" s="256"/>
      <c r="F261" s="148">
        <f>F260-F259</f>
        <v>12795.183890545703</v>
      </c>
      <c r="H261" s="153"/>
      <c r="I261" s="153"/>
      <c r="J261" s="256" t="s">
        <v>119</v>
      </c>
      <c r="K261" s="256"/>
      <c r="L261" s="148">
        <f>L260-L259</f>
        <v>12246.095697222681</v>
      </c>
      <c r="N261" s="153"/>
      <c r="O261" s="153"/>
      <c r="P261" s="206"/>
      <c r="Q261" s="206"/>
      <c r="R261" s="157"/>
      <c r="T261" s="153"/>
      <c r="U261" s="153"/>
      <c r="V261" s="256" t="s">
        <v>119</v>
      </c>
      <c r="W261" s="256"/>
      <c r="X261" s="148">
        <f>X260-X259</f>
        <v>18131.733013352718</v>
      </c>
      <c r="Z261" s="153"/>
      <c r="AA261" s="153"/>
      <c r="AB261" s="256" t="s">
        <v>119</v>
      </c>
      <c r="AC261" s="256"/>
      <c r="AD261" s="148">
        <f>AD260-AD259</f>
        <v>17582.644820029698</v>
      </c>
      <c r="AF261" s="153"/>
      <c r="AG261" s="153"/>
      <c r="AH261" s="206"/>
      <c r="AI261" s="206"/>
      <c r="AJ261" s="157"/>
    </row>
    <row r="263" spans="2:36" ht="15.4" x14ac:dyDescent="0.45">
      <c r="B263" s="259" t="s">
        <v>340</v>
      </c>
      <c r="C263" s="259"/>
      <c r="D263" s="259"/>
      <c r="E263" s="259"/>
      <c r="F263" s="259"/>
      <c r="G263" s="259"/>
      <c r="H263" s="259"/>
      <c r="I263" s="259"/>
      <c r="J263" s="259"/>
      <c r="K263" s="259"/>
      <c r="L263" s="259"/>
      <c r="M263" s="259"/>
      <c r="N263" s="259"/>
      <c r="O263" s="259"/>
      <c r="P263" s="259"/>
      <c r="Q263" s="259"/>
      <c r="R263" s="259"/>
      <c r="T263" s="259" t="s">
        <v>341</v>
      </c>
      <c r="U263" s="259"/>
      <c r="V263" s="259"/>
      <c r="W263" s="259"/>
      <c r="X263" s="259"/>
      <c r="Y263" s="259"/>
      <c r="Z263" s="259"/>
      <c r="AA263" s="259"/>
      <c r="AB263" s="259"/>
      <c r="AC263" s="259"/>
      <c r="AD263" s="259"/>
      <c r="AE263" s="259"/>
      <c r="AF263" s="259"/>
      <c r="AG263" s="259"/>
      <c r="AH263" s="259"/>
      <c r="AI263" s="259"/>
      <c r="AJ263" s="259"/>
    </row>
    <row r="264" spans="2:36" ht="14.65" thickBot="1" x14ac:dyDescent="0.5">
      <c r="B264" s="2" t="s">
        <v>253</v>
      </c>
      <c r="H264" s="2" t="s">
        <v>259</v>
      </c>
      <c r="N264" s="2" t="s">
        <v>263</v>
      </c>
      <c r="T264" s="2" t="s">
        <v>253</v>
      </c>
      <c r="Z264" s="2" t="s">
        <v>259</v>
      </c>
      <c r="AF264" s="2" t="s">
        <v>263</v>
      </c>
    </row>
    <row r="265" spans="2:36" x14ac:dyDescent="0.45">
      <c r="B265" s="119" t="s">
        <v>0</v>
      </c>
      <c r="C265" s="119" t="s">
        <v>49</v>
      </c>
      <c r="D265" s="119" t="s">
        <v>34</v>
      </c>
      <c r="E265" s="119" t="s">
        <v>50</v>
      </c>
      <c r="F265" s="119" t="s">
        <v>36</v>
      </c>
      <c r="H265" s="119" t="s">
        <v>0</v>
      </c>
      <c r="I265" s="119" t="s">
        <v>49</v>
      </c>
      <c r="J265" s="119" t="s">
        <v>34</v>
      </c>
      <c r="K265" s="119" t="s">
        <v>50</v>
      </c>
      <c r="L265" s="119" t="s">
        <v>36</v>
      </c>
      <c r="N265" s="119" t="s">
        <v>0</v>
      </c>
      <c r="O265" s="119" t="s">
        <v>49</v>
      </c>
      <c r="P265" s="119" t="s">
        <v>34</v>
      </c>
      <c r="Q265" s="119" t="s">
        <v>50</v>
      </c>
      <c r="R265" s="119" t="s">
        <v>36</v>
      </c>
      <c r="T265" s="119" t="s">
        <v>0</v>
      </c>
      <c r="U265" s="119" t="s">
        <v>49</v>
      </c>
      <c r="V265" s="119" t="s">
        <v>34</v>
      </c>
      <c r="W265" s="119" t="s">
        <v>50</v>
      </c>
      <c r="X265" s="119" t="s">
        <v>36</v>
      </c>
      <c r="Z265" s="119" t="s">
        <v>0</v>
      </c>
      <c r="AA265" s="119" t="s">
        <v>49</v>
      </c>
      <c r="AB265" s="119" t="s">
        <v>34</v>
      </c>
      <c r="AC265" s="119" t="s">
        <v>50</v>
      </c>
      <c r="AD265" s="119" t="s">
        <v>36</v>
      </c>
      <c r="AF265" s="119" t="s">
        <v>0</v>
      </c>
      <c r="AG265" s="119" t="s">
        <v>49</v>
      </c>
      <c r="AH265" s="119" t="s">
        <v>34</v>
      </c>
      <c r="AI265" s="119" t="s">
        <v>50</v>
      </c>
      <c r="AJ265" s="119" t="s">
        <v>36</v>
      </c>
    </row>
    <row r="266" spans="2:36" x14ac:dyDescent="0.45">
      <c r="B266" s="141">
        <v>1</v>
      </c>
      <c r="C266" s="142" t="s">
        <v>112</v>
      </c>
      <c r="D266" s="141">
        <v>1</v>
      </c>
      <c r="E266" s="141" t="s">
        <v>6</v>
      </c>
      <c r="F266" s="143">
        <f>D266*'Daftar HPP'!$L$57</f>
        <v>4875.7315789473687</v>
      </c>
      <c r="H266" s="141">
        <v>1</v>
      </c>
      <c r="I266" s="142" t="s">
        <v>112</v>
      </c>
      <c r="J266" s="141">
        <v>1</v>
      </c>
      <c r="K266" s="141" t="s">
        <v>6</v>
      </c>
      <c r="L266" s="143">
        <f>J266*'Daftar HPP'!$L$57</f>
        <v>4875.7315789473687</v>
      </c>
      <c r="N266" s="141">
        <v>1</v>
      </c>
      <c r="O266" s="142" t="s">
        <v>112</v>
      </c>
      <c r="P266" s="141">
        <v>1</v>
      </c>
      <c r="Q266" s="141" t="s">
        <v>6</v>
      </c>
      <c r="R266" s="143">
        <f>P266*'Daftar HPP'!$L$57</f>
        <v>4875.7315789473687</v>
      </c>
      <c r="T266" s="141">
        <v>1</v>
      </c>
      <c r="U266" s="142" t="s">
        <v>112</v>
      </c>
      <c r="V266" s="141">
        <v>2</v>
      </c>
      <c r="W266" s="141" t="s">
        <v>6</v>
      </c>
      <c r="X266" s="143">
        <f>V266*'Daftar HPP'!$L$57</f>
        <v>9751.4631578947374</v>
      </c>
      <c r="Z266" s="141">
        <v>1</v>
      </c>
      <c r="AA266" s="142" t="s">
        <v>112</v>
      </c>
      <c r="AB266" s="141">
        <v>2</v>
      </c>
      <c r="AC266" s="141" t="s">
        <v>6</v>
      </c>
      <c r="AD266" s="143">
        <f>AB266*'Daftar HPP'!$L$57</f>
        <v>9751.4631578947374</v>
      </c>
      <c r="AF266" s="141">
        <v>1</v>
      </c>
      <c r="AG266" s="142" t="s">
        <v>112</v>
      </c>
      <c r="AH266" s="141">
        <v>2</v>
      </c>
      <c r="AI266" s="141" t="s">
        <v>6</v>
      </c>
      <c r="AJ266" s="143">
        <f>AH266*'Daftar HPP'!$L$57</f>
        <v>9751.4631578947374</v>
      </c>
    </row>
    <row r="267" spans="2:36" x14ac:dyDescent="0.45">
      <c r="B267" s="141">
        <v>2</v>
      </c>
      <c r="C267" s="142" t="s">
        <v>17</v>
      </c>
      <c r="D267" s="141">
        <v>50</v>
      </c>
      <c r="E267" s="141" t="s">
        <v>8</v>
      </c>
      <c r="F267" s="143">
        <f>D267*'Daftar HPP'!$L$122</f>
        <v>1802.6315789473686</v>
      </c>
      <c r="H267" s="141">
        <v>2</v>
      </c>
      <c r="I267" s="142" t="s">
        <v>17</v>
      </c>
      <c r="J267" s="141">
        <v>50</v>
      </c>
      <c r="K267" s="141" t="s">
        <v>8</v>
      </c>
      <c r="L267" s="143">
        <f>J267*'Daftar HPP'!$L$122</f>
        <v>1802.6315789473686</v>
      </c>
      <c r="N267" s="141">
        <v>2</v>
      </c>
      <c r="O267" s="142" t="s">
        <v>17</v>
      </c>
      <c r="P267" s="141">
        <v>50</v>
      </c>
      <c r="Q267" s="141" t="s">
        <v>8</v>
      </c>
      <c r="R267" s="143">
        <f>P267*'Daftar HPP'!$L$122</f>
        <v>1802.6315789473686</v>
      </c>
      <c r="T267" s="141">
        <v>2</v>
      </c>
      <c r="U267" s="142" t="s">
        <v>17</v>
      </c>
      <c r="V267" s="141">
        <v>100</v>
      </c>
      <c r="W267" s="141" t="s">
        <v>8</v>
      </c>
      <c r="X267" s="143">
        <f>V267*'Daftar HPP'!$L$122</f>
        <v>3605.2631578947371</v>
      </c>
      <c r="Z267" s="141">
        <v>2</v>
      </c>
      <c r="AA267" s="142" t="s">
        <v>17</v>
      </c>
      <c r="AB267" s="141">
        <v>100</v>
      </c>
      <c r="AC267" s="141" t="s">
        <v>8</v>
      </c>
      <c r="AD267" s="143">
        <f>AB267*'Daftar HPP'!$L$122</f>
        <v>3605.2631578947371</v>
      </c>
      <c r="AF267" s="141">
        <v>2</v>
      </c>
      <c r="AG267" s="142" t="s">
        <v>17</v>
      </c>
      <c r="AH267" s="141">
        <v>100</v>
      </c>
      <c r="AI267" s="141" t="s">
        <v>8</v>
      </c>
      <c r="AJ267" s="143">
        <f>AH267*'Daftar HPP'!$L$122</f>
        <v>3605.2631578947371</v>
      </c>
    </row>
    <row r="268" spans="2:36" x14ac:dyDescent="0.45">
      <c r="B268" s="141">
        <v>3</v>
      </c>
      <c r="C268" s="142" t="s">
        <v>271</v>
      </c>
      <c r="D268" s="141">
        <v>1</v>
      </c>
      <c r="E268" s="141" t="s">
        <v>118</v>
      </c>
      <c r="F268" s="143">
        <f>D268*'Daftar HPP'!$G$13</f>
        <v>1200</v>
      </c>
      <c r="H268" s="141">
        <v>3</v>
      </c>
      <c r="I268" s="142" t="s">
        <v>271</v>
      </c>
      <c r="J268" s="141">
        <v>1</v>
      </c>
      <c r="K268" s="141" t="s">
        <v>118</v>
      </c>
      <c r="L268" s="143">
        <f>J268*'Daftar HPP'!$G$13</f>
        <v>1200</v>
      </c>
      <c r="N268" s="141">
        <v>3</v>
      </c>
      <c r="O268" s="142" t="s">
        <v>271</v>
      </c>
      <c r="P268" s="141">
        <v>1</v>
      </c>
      <c r="Q268" s="141" t="s">
        <v>118</v>
      </c>
      <c r="R268" s="143">
        <f>P268*'Daftar HPP'!$G$13</f>
        <v>1200</v>
      </c>
      <c r="T268" s="141">
        <v>3</v>
      </c>
      <c r="U268" s="142" t="s">
        <v>271</v>
      </c>
      <c r="V268" s="141">
        <v>1</v>
      </c>
      <c r="W268" s="141" t="s">
        <v>118</v>
      </c>
      <c r="X268" s="143">
        <f>V268*'Daftar HPP'!$G$13</f>
        <v>1200</v>
      </c>
      <c r="Z268" s="141">
        <v>3</v>
      </c>
      <c r="AA268" s="142" t="s">
        <v>271</v>
      </c>
      <c r="AB268" s="141">
        <v>1</v>
      </c>
      <c r="AC268" s="141" t="s">
        <v>118</v>
      </c>
      <c r="AD268" s="143">
        <f>AB268*'Daftar HPP'!$G$13</f>
        <v>1200</v>
      </c>
      <c r="AF268" s="141">
        <v>3</v>
      </c>
      <c r="AG268" s="142" t="s">
        <v>271</v>
      </c>
      <c r="AH268" s="141">
        <v>1</v>
      </c>
      <c r="AI268" s="141" t="s">
        <v>118</v>
      </c>
      <c r="AJ268" s="143">
        <f>AH268*'Daftar HPP'!$G$13</f>
        <v>1200</v>
      </c>
    </row>
    <row r="269" spans="2:36" x14ac:dyDescent="0.45">
      <c r="B269" s="141">
        <v>4</v>
      </c>
      <c r="C269" s="142" t="s">
        <v>17</v>
      </c>
      <c r="D269" s="141">
        <v>30</v>
      </c>
      <c r="E269" s="141" t="s">
        <v>8</v>
      </c>
      <c r="F269" s="144">
        <f>D269*'Daftar HPP'!$F$152</f>
        <v>2093.9588100686497</v>
      </c>
      <c r="H269" s="141">
        <v>4</v>
      </c>
      <c r="I269" s="142" t="s">
        <v>25</v>
      </c>
      <c r="J269" s="141">
        <v>30</v>
      </c>
      <c r="K269" s="141" t="s">
        <v>8</v>
      </c>
      <c r="L269" s="144">
        <f>J269*'Daftar HPP'!$G$22</f>
        <v>1995</v>
      </c>
      <c r="N269" s="141">
        <v>4</v>
      </c>
      <c r="O269" s="142" t="s">
        <v>107</v>
      </c>
      <c r="P269" s="141">
        <v>30</v>
      </c>
      <c r="Q269" s="141" t="s">
        <v>8</v>
      </c>
      <c r="R269" s="144">
        <f>P269*'Daftar HPP'!$L$152</f>
        <v>2144.1036802532649</v>
      </c>
      <c r="T269" s="141">
        <v>4</v>
      </c>
      <c r="U269" s="142" t="s">
        <v>17</v>
      </c>
      <c r="V269" s="141">
        <v>30</v>
      </c>
      <c r="W269" s="141" t="s">
        <v>8</v>
      </c>
      <c r="X269" s="144">
        <f>V269*'Daftar HPP'!$F$152</f>
        <v>2093.9588100686497</v>
      </c>
      <c r="Z269" s="141">
        <v>4</v>
      </c>
      <c r="AA269" s="142" t="s">
        <v>25</v>
      </c>
      <c r="AB269" s="141">
        <v>30</v>
      </c>
      <c r="AC269" s="141" t="s">
        <v>8</v>
      </c>
      <c r="AD269" s="144">
        <f>AB269*'Daftar HPP'!$G$22</f>
        <v>1995</v>
      </c>
      <c r="AF269" s="141">
        <v>4</v>
      </c>
      <c r="AG269" s="142" t="s">
        <v>107</v>
      </c>
      <c r="AH269" s="141">
        <v>30</v>
      </c>
      <c r="AI269" s="141" t="s">
        <v>8</v>
      </c>
      <c r="AJ269" s="144">
        <f>AH269*'Daftar HPP'!$L$152</f>
        <v>2144.1036802532649</v>
      </c>
    </row>
    <row r="270" spans="2:36" x14ac:dyDescent="0.45">
      <c r="B270" s="141">
        <v>5</v>
      </c>
      <c r="C270" s="142" t="s">
        <v>25</v>
      </c>
      <c r="D270" s="141">
        <v>30</v>
      </c>
      <c r="E270" s="141" t="s">
        <v>8</v>
      </c>
      <c r="F270" s="144">
        <f>D270*'Daftar HPP'!$G$22</f>
        <v>1995</v>
      </c>
      <c r="H270" s="141">
        <v>5</v>
      </c>
      <c r="I270" s="142" t="s">
        <v>105</v>
      </c>
      <c r="J270" s="141">
        <v>30</v>
      </c>
      <c r="K270" s="141" t="s">
        <v>8</v>
      </c>
      <c r="L270" s="144">
        <f>J270*'Daftar HPP'!$F$143</f>
        <v>2146.3497453310692</v>
      </c>
      <c r="N270" s="141">
        <v>5</v>
      </c>
      <c r="O270" s="142" t="s">
        <v>26</v>
      </c>
      <c r="P270" s="141">
        <v>30</v>
      </c>
      <c r="Q270" s="141" t="s">
        <v>8</v>
      </c>
      <c r="R270" s="144">
        <f>P270*'Daftar HPP'!$L$143</f>
        <v>1647.4064221926658</v>
      </c>
      <c r="T270" s="141">
        <v>5</v>
      </c>
      <c r="U270" s="142" t="s">
        <v>25</v>
      </c>
      <c r="V270" s="141">
        <v>30</v>
      </c>
      <c r="W270" s="141" t="s">
        <v>8</v>
      </c>
      <c r="X270" s="144">
        <f>V270*'Daftar HPP'!$G$22</f>
        <v>1995</v>
      </c>
      <c r="Z270" s="141">
        <v>5</v>
      </c>
      <c r="AA270" s="142" t="s">
        <v>105</v>
      </c>
      <c r="AB270" s="141">
        <v>30</v>
      </c>
      <c r="AC270" s="141" t="s">
        <v>8</v>
      </c>
      <c r="AD270" s="144">
        <f>AB270*'Daftar HPP'!$F$143</f>
        <v>2146.3497453310692</v>
      </c>
      <c r="AF270" s="141">
        <v>5</v>
      </c>
      <c r="AG270" s="142" t="s">
        <v>26</v>
      </c>
      <c r="AH270" s="141">
        <v>30</v>
      </c>
      <c r="AI270" s="141" t="s">
        <v>8</v>
      </c>
      <c r="AJ270" s="144">
        <f>AH270*'Daftar HPP'!$L$143</f>
        <v>1647.4064221926658</v>
      </c>
    </row>
    <row r="271" spans="2:36" x14ac:dyDescent="0.45">
      <c r="B271" s="141">
        <v>6</v>
      </c>
      <c r="C271" s="142" t="s">
        <v>275</v>
      </c>
      <c r="D271" s="141">
        <v>1</v>
      </c>
      <c r="E271" s="141" t="s">
        <v>8</v>
      </c>
      <c r="F271" s="144">
        <f>D271*'Daftar HPP'!$G$34</f>
        <v>500</v>
      </c>
      <c r="H271" s="141">
        <v>6</v>
      </c>
      <c r="I271" s="142" t="s">
        <v>275</v>
      </c>
      <c r="J271" s="141">
        <v>1</v>
      </c>
      <c r="K271" s="141" t="s">
        <v>8</v>
      </c>
      <c r="L271" s="144">
        <f>J271*'Daftar HPP'!$G$34</f>
        <v>500</v>
      </c>
      <c r="N271" s="141">
        <v>6</v>
      </c>
      <c r="O271" s="142" t="s">
        <v>275</v>
      </c>
      <c r="P271" s="141">
        <v>1</v>
      </c>
      <c r="Q271" s="141" t="s">
        <v>8</v>
      </c>
      <c r="R271" s="144">
        <f>P271*'Daftar HPP'!$G$34</f>
        <v>500</v>
      </c>
      <c r="T271" s="141">
        <v>6</v>
      </c>
      <c r="U271" s="142" t="s">
        <v>275</v>
      </c>
      <c r="V271" s="141">
        <v>1</v>
      </c>
      <c r="W271" s="141" t="s">
        <v>8</v>
      </c>
      <c r="X271" s="144">
        <f>V271*'Daftar HPP'!$G$34</f>
        <v>500</v>
      </c>
      <c r="Z271" s="141">
        <v>6</v>
      </c>
      <c r="AA271" s="142" t="s">
        <v>275</v>
      </c>
      <c r="AB271" s="141">
        <v>1</v>
      </c>
      <c r="AC271" s="141" t="s">
        <v>8</v>
      </c>
      <c r="AD271" s="144">
        <f>AB271*'Daftar HPP'!$G$34</f>
        <v>500</v>
      </c>
      <c r="AF271" s="141">
        <v>6</v>
      </c>
      <c r="AG271" s="142" t="s">
        <v>275</v>
      </c>
      <c r="AH271" s="141">
        <v>1</v>
      </c>
      <c r="AI271" s="141" t="s">
        <v>8</v>
      </c>
      <c r="AJ271" s="144">
        <f>AH271*'Daftar HPP'!$G$34</f>
        <v>500</v>
      </c>
    </row>
    <row r="272" spans="2:36" x14ac:dyDescent="0.45">
      <c r="B272" s="141">
        <v>7</v>
      </c>
      <c r="C272" s="142" t="s">
        <v>251</v>
      </c>
      <c r="D272" s="141">
        <v>1</v>
      </c>
      <c r="E272" s="141" t="s">
        <v>28</v>
      </c>
      <c r="F272" s="144">
        <f>D272*'Daftar HPP'!$G$39</f>
        <v>1100</v>
      </c>
      <c r="H272" s="141">
        <v>7</v>
      </c>
      <c r="I272" s="142" t="s">
        <v>251</v>
      </c>
      <c r="J272" s="141">
        <v>1</v>
      </c>
      <c r="K272" s="141" t="s">
        <v>28</v>
      </c>
      <c r="L272" s="144">
        <f>J272*'Daftar HPP'!$G$39</f>
        <v>1100</v>
      </c>
      <c r="N272" s="141">
        <v>7</v>
      </c>
      <c r="O272" s="142" t="s">
        <v>251</v>
      </c>
      <c r="P272" s="141">
        <v>1</v>
      </c>
      <c r="Q272" s="141" t="s">
        <v>28</v>
      </c>
      <c r="R272" s="144">
        <f>P272*'Daftar HPP'!$G$39</f>
        <v>1100</v>
      </c>
      <c r="T272" s="141">
        <v>7</v>
      </c>
      <c r="U272" s="142" t="s">
        <v>251</v>
      </c>
      <c r="V272" s="141">
        <v>1</v>
      </c>
      <c r="W272" s="141" t="s">
        <v>28</v>
      </c>
      <c r="X272" s="144">
        <f>V272*'Daftar HPP'!$G$39</f>
        <v>1100</v>
      </c>
      <c r="Z272" s="141">
        <v>7</v>
      </c>
      <c r="AA272" s="142" t="s">
        <v>251</v>
      </c>
      <c r="AB272" s="141">
        <v>1</v>
      </c>
      <c r="AC272" s="141" t="s">
        <v>28</v>
      </c>
      <c r="AD272" s="144">
        <f>AB272*'Daftar HPP'!$G$39</f>
        <v>1100</v>
      </c>
      <c r="AF272" s="141">
        <v>7</v>
      </c>
      <c r="AG272" s="142" t="s">
        <v>251</v>
      </c>
      <c r="AH272" s="141">
        <v>1</v>
      </c>
      <c r="AI272" s="141" t="s">
        <v>28</v>
      </c>
      <c r="AJ272" s="144">
        <f>AH272*'Daftar HPP'!$G$39</f>
        <v>1100</v>
      </c>
    </row>
    <row r="273" spans="2:36" x14ac:dyDescent="0.45">
      <c r="B273" s="153"/>
      <c r="C273" s="150"/>
      <c r="D273" s="261" t="s">
        <v>53</v>
      </c>
      <c r="E273" s="261"/>
      <c r="F273" s="190">
        <f>SUM(F266:F272)</f>
        <v>13567.321967963388</v>
      </c>
      <c r="H273" s="153"/>
      <c r="I273" s="150"/>
      <c r="J273" s="261" t="s">
        <v>53</v>
      </c>
      <c r="K273" s="261"/>
      <c r="L273" s="190">
        <f>SUM(L266:L272)</f>
        <v>13619.712903225805</v>
      </c>
      <c r="N273" s="153"/>
      <c r="O273" s="150"/>
      <c r="P273" s="261" t="s">
        <v>53</v>
      </c>
      <c r="Q273" s="261"/>
      <c r="R273" s="190">
        <f>SUM(R266:R272)</f>
        <v>13269.873260340668</v>
      </c>
      <c r="T273" s="153"/>
      <c r="U273" s="150"/>
      <c r="V273" s="261" t="s">
        <v>53</v>
      </c>
      <c r="W273" s="261"/>
      <c r="X273" s="190">
        <f>SUM(X266:X272)</f>
        <v>20245.685125858123</v>
      </c>
      <c r="Z273" s="153"/>
      <c r="AA273" s="150"/>
      <c r="AB273" s="261" t="s">
        <v>53</v>
      </c>
      <c r="AC273" s="261"/>
      <c r="AD273" s="190">
        <f>SUM(AD266:AD272)</f>
        <v>20298.076061120544</v>
      </c>
      <c r="AF273" s="153"/>
      <c r="AG273" s="150"/>
      <c r="AH273" s="261" t="s">
        <v>53</v>
      </c>
      <c r="AI273" s="261"/>
      <c r="AJ273" s="190">
        <f>SUM(AJ266:AJ272)</f>
        <v>19948.236418235407</v>
      </c>
    </row>
    <row r="274" spans="2:36" x14ac:dyDescent="0.45">
      <c r="B274" s="153"/>
      <c r="C274" s="153"/>
      <c r="D274" s="256" t="s">
        <v>116</v>
      </c>
      <c r="E274" s="256"/>
      <c r="F274" s="147">
        <v>26000</v>
      </c>
      <c r="H274" s="153"/>
      <c r="I274" s="153"/>
      <c r="J274" s="256" t="s">
        <v>116</v>
      </c>
      <c r="K274" s="256"/>
      <c r="L274" s="147">
        <v>26000</v>
      </c>
      <c r="N274" s="153"/>
      <c r="O274" s="153"/>
      <c r="P274" s="256" t="s">
        <v>116</v>
      </c>
      <c r="Q274" s="256"/>
      <c r="R274" s="147">
        <v>26000</v>
      </c>
      <c r="T274" s="153"/>
      <c r="U274" s="153"/>
      <c r="V274" s="256" t="s">
        <v>116</v>
      </c>
      <c r="W274" s="256"/>
      <c r="X274" s="147">
        <v>38000</v>
      </c>
      <c r="Z274" s="153"/>
      <c r="AA274" s="153"/>
      <c r="AB274" s="256" t="s">
        <v>116</v>
      </c>
      <c r="AC274" s="256"/>
      <c r="AD274" s="147">
        <v>38000</v>
      </c>
      <c r="AF274" s="153"/>
      <c r="AG274" s="153"/>
      <c r="AH274" s="256" t="s">
        <v>116</v>
      </c>
      <c r="AI274" s="256"/>
      <c r="AJ274" s="147">
        <v>38000</v>
      </c>
    </row>
    <row r="275" spans="2:36" x14ac:dyDescent="0.45">
      <c r="B275" s="153"/>
      <c r="C275" s="153"/>
      <c r="D275" s="256" t="s">
        <v>119</v>
      </c>
      <c r="E275" s="256"/>
      <c r="F275" s="148">
        <f>F274-F273</f>
        <v>12432.678032036612</v>
      </c>
      <c r="H275" s="153"/>
      <c r="I275" s="153"/>
      <c r="J275" s="256" t="s">
        <v>119</v>
      </c>
      <c r="K275" s="256"/>
      <c r="L275" s="148">
        <f>L274-L273</f>
        <v>12380.287096774195</v>
      </c>
      <c r="N275" s="153"/>
      <c r="O275" s="153"/>
      <c r="P275" s="256" t="s">
        <v>119</v>
      </c>
      <c r="Q275" s="256"/>
      <c r="R275" s="148">
        <f>R274-R273</f>
        <v>12730.126739659332</v>
      </c>
      <c r="T275" s="153"/>
      <c r="U275" s="153"/>
      <c r="V275" s="256" t="s">
        <v>119</v>
      </c>
      <c r="W275" s="256"/>
      <c r="X275" s="148">
        <f>X274-X273</f>
        <v>17754.314874141877</v>
      </c>
      <c r="Z275" s="153"/>
      <c r="AA275" s="153"/>
      <c r="AB275" s="256" t="s">
        <v>119</v>
      </c>
      <c r="AC275" s="256"/>
      <c r="AD275" s="148">
        <f>AD274-AD273</f>
        <v>17701.923938879456</v>
      </c>
      <c r="AF275" s="153"/>
      <c r="AG275" s="153"/>
      <c r="AH275" s="256" t="s">
        <v>119</v>
      </c>
      <c r="AI275" s="256"/>
      <c r="AJ275" s="148">
        <f>AJ274-AJ273</f>
        <v>18051.763581764593</v>
      </c>
    </row>
    <row r="277" spans="2:36" ht="14.65" thickBot="1" x14ac:dyDescent="0.5">
      <c r="B277" s="2" t="s">
        <v>256</v>
      </c>
      <c r="H277" s="2" t="s">
        <v>260</v>
      </c>
      <c r="N277" s="2" t="s">
        <v>307</v>
      </c>
      <c r="T277" s="2" t="s">
        <v>256</v>
      </c>
      <c r="Z277" s="2" t="s">
        <v>260</v>
      </c>
      <c r="AF277" s="2" t="s">
        <v>307</v>
      </c>
    </row>
    <row r="278" spans="2:36" x14ac:dyDescent="0.45">
      <c r="B278" s="119" t="s">
        <v>0</v>
      </c>
      <c r="C278" s="119" t="s">
        <v>49</v>
      </c>
      <c r="D278" s="119" t="s">
        <v>34</v>
      </c>
      <c r="E278" s="119" t="s">
        <v>50</v>
      </c>
      <c r="F278" s="119" t="s">
        <v>36</v>
      </c>
      <c r="H278" s="119" t="s">
        <v>0</v>
      </c>
      <c r="I278" s="119" t="s">
        <v>49</v>
      </c>
      <c r="J278" s="119" t="s">
        <v>34</v>
      </c>
      <c r="K278" s="119" t="s">
        <v>50</v>
      </c>
      <c r="L278" s="119" t="s">
        <v>36</v>
      </c>
      <c r="N278" s="119" t="s">
        <v>0</v>
      </c>
      <c r="O278" s="119" t="s">
        <v>49</v>
      </c>
      <c r="P278" s="119" t="s">
        <v>34</v>
      </c>
      <c r="Q278" s="119" t="s">
        <v>50</v>
      </c>
      <c r="R278" s="119" t="s">
        <v>36</v>
      </c>
      <c r="T278" s="119" t="s">
        <v>0</v>
      </c>
      <c r="U278" s="119" t="s">
        <v>49</v>
      </c>
      <c r="V278" s="119" t="s">
        <v>34</v>
      </c>
      <c r="W278" s="119" t="s">
        <v>50</v>
      </c>
      <c r="X278" s="119" t="s">
        <v>36</v>
      </c>
      <c r="Z278" s="119" t="s">
        <v>0</v>
      </c>
      <c r="AA278" s="119" t="s">
        <v>49</v>
      </c>
      <c r="AB278" s="119" t="s">
        <v>34</v>
      </c>
      <c r="AC278" s="119" t="s">
        <v>50</v>
      </c>
      <c r="AD278" s="119" t="s">
        <v>36</v>
      </c>
      <c r="AF278" s="119" t="s">
        <v>0</v>
      </c>
      <c r="AG278" s="119" t="s">
        <v>49</v>
      </c>
      <c r="AH278" s="119" t="s">
        <v>34</v>
      </c>
      <c r="AI278" s="119" t="s">
        <v>50</v>
      </c>
      <c r="AJ278" s="119" t="s">
        <v>36</v>
      </c>
    </row>
    <row r="279" spans="2:36" x14ac:dyDescent="0.45">
      <c r="B279" s="141">
        <v>1</v>
      </c>
      <c r="C279" s="142" t="s">
        <v>112</v>
      </c>
      <c r="D279" s="141">
        <v>1</v>
      </c>
      <c r="E279" s="141" t="s">
        <v>6</v>
      </c>
      <c r="F279" s="143">
        <f>D279*'Daftar HPP'!$L$57</f>
        <v>4875.7315789473687</v>
      </c>
      <c r="H279" s="141">
        <v>1</v>
      </c>
      <c r="I279" s="142" t="s">
        <v>112</v>
      </c>
      <c r="J279" s="141">
        <v>1</v>
      </c>
      <c r="K279" s="141" t="s">
        <v>6</v>
      </c>
      <c r="L279" s="143">
        <f>J279*'Daftar HPP'!$L$57</f>
        <v>4875.7315789473687</v>
      </c>
      <c r="N279" s="141">
        <v>1</v>
      </c>
      <c r="O279" s="142" t="s">
        <v>112</v>
      </c>
      <c r="P279" s="141">
        <v>1</v>
      </c>
      <c r="Q279" s="141" t="s">
        <v>6</v>
      </c>
      <c r="R279" s="143">
        <f>P279*'Daftar HPP'!$L$57</f>
        <v>4875.7315789473687</v>
      </c>
      <c r="T279" s="141">
        <v>1</v>
      </c>
      <c r="U279" s="142" t="s">
        <v>112</v>
      </c>
      <c r="V279" s="141">
        <v>2</v>
      </c>
      <c r="W279" s="141" t="s">
        <v>6</v>
      </c>
      <c r="X279" s="143">
        <f>V279*'Daftar HPP'!$L$57</f>
        <v>9751.4631578947374</v>
      </c>
      <c r="Z279" s="141">
        <v>1</v>
      </c>
      <c r="AA279" s="142" t="s">
        <v>112</v>
      </c>
      <c r="AB279" s="141">
        <v>2</v>
      </c>
      <c r="AC279" s="141" t="s">
        <v>6</v>
      </c>
      <c r="AD279" s="143">
        <f>AB279*'Daftar HPP'!$L$57</f>
        <v>9751.4631578947374</v>
      </c>
      <c r="AF279" s="141">
        <v>1</v>
      </c>
      <c r="AG279" s="142" t="s">
        <v>112</v>
      </c>
      <c r="AH279" s="141">
        <v>2</v>
      </c>
      <c r="AI279" s="141" t="s">
        <v>6</v>
      </c>
      <c r="AJ279" s="143">
        <f>AH279*'Daftar HPP'!$L$57</f>
        <v>9751.4631578947374</v>
      </c>
    </row>
    <row r="280" spans="2:36" x14ac:dyDescent="0.45">
      <c r="B280" s="141">
        <v>2</v>
      </c>
      <c r="C280" s="142" t="s">
        <v>17</v>
      </c>
      <c r="D280" s="141">
        <v>50</v>
      </c>
      <c r="E280" s="141" t="s">
        <v>8</v>
      </c>
      <c r="F280" s="143">
        <f>D280*'Daftar HPP'!$L$122</f>
        <v>1802.6315789473686</v>
      </c>
      <c r="H280" s="141">
        <v>2</v>
      </c>
      <c r="I280" s="142" t="s">
        <v>17</v>
      </c>
      <c r="J280" s="141">
        <v>50</v>
      </c>
      <c r="K280" s="141" t="s">
        <v>8</v>
      </c>
      <c r="L280" s="143">
        <f>J280*'Daftar HPP'!$L$122</f>
        <v>1802.6315789473686</v>
      </c>
      <c r="N280" s="141">
        <v>2</v>
      </c>
      <c r="O280" s="142" t="s">
        <v>17</v>
      </c>
      <c r="P280" s="141">
        <v>50</v>
      </c>
      <c r="Q280" s="141" t="s">
        <v>8</v>
      </c>
      <c r="R280" s="143">
        <f>P280*'Daftar HPP'!$L$122</f>
        <v>1802.6315789473686</v>
      </c>
      <c r="T280" s="141">
        <v>2</v>
      </c>
      <c r="U280" s="142" t="s">
        <v>17</v>
      </c>
      <c r="V280" s="141">
        <v>100</v>
      </c>
      <c r="W280" s="141" t="s">
        <v>8</v>
      </c>
      <c r="X280" s="143">
        <f>V280*'Daftar HPP'!$L$122</f>
        <v>3605.2631578947371</v>
      </c>
      <c r="Z280" s="141">
        <v>2</v>
      </c>
      <c r="AA280" s="142" t="s">
        <v>17</v>
      </c>
      <c r="AB280" s="141">
        <v>100</v>
      </c>
      <c r="AC280" s="141" t="s">
        <v>8</v>
      </c>
      <c r="AD280" s="143">
        <f>AB280*'Daftar HPP'!$L$122</f>
        <v>3605.2631578947371</v>
      </c>
      <c r="AF280" s="141">
        <v>2</v>
      </c>
      <c r="AG280" s="142" t="s">
        <v>17</v>
      </c>
      <c r="AH280" s="141">
        <v>100</v>
      </c>
      <c r="AI280" s="141" t="s">
        <v>8</v>
      </c>
      <c r="AJ280" s="143">
        <f>AH280*'Daftar HPP'!$L$122</f>
        <v>3605.2631578947371</v>
      </c>
    </row>
    <row r="281" spans="2:36" x14ac:dyDescent="0.45">
      <c r="B281" s="141">
        <v>3</v>
      </c>
      <c r="C281" s="142" t="s">
        <v>271</v>
      </c>
      <c r="D281" s="141">
        <v>1</v>
      </c>
      <c r="E281" s="141" t="s">
        <v>118</v>
      </c>
      <c r="F281" s="143">
        <f>D281*'Daftar HPP'!$G$13</f>
        <v>1200</v>
      </c>
      <c r="H281" s="141">
        <v>3</v>
      </c>
      <c r="I281" s="142" t="s">
        <v>271</v>
      </c>
      <c r="J281" s="141">
        <v>1</v>
      </c>
      <c r="K281" s="141" t="s">
        <v>118</v>
      </c>
      <c r="L281" s="143">
        <f>J281*'Daftar HPP'!$G$13</f>
        <v>1200</v>
      </c>
      <c r="N281" s="141">
        <v>3</v>
      </c>
      <c r="O281" s="142" t="s">
        <v>271</v>
      </c>
      <c r="P281" s="141">
        <v>1</v>
      </c>
      <c r="Q281" s="141" t="s">
        <v>118</v>
      </c>
      <c r="R281" s="143">
        <f>P281*'Daftar HPP'!$G$13</f>
        <v>1200</v>
      </c>
      <c r="T281" s="141">
        <v>3</v>
      </c>
      <c r="U281" s="142" t="s">
        <v>271</v>
      </c>
      <c r="V281" s="141">
        <v>1</v>
      </c>
      <c r="W281" s="141" t="s">
        <v>118</v>
      </c>
      <c r="X281" s="143">
        <f>V281*'Daftar HPP'!$G$13</f>
        <v>1200</v>
      </c>
      <c r="Z281" s="141">
        <v>3</v>
      </c>
      <c r="AA281" s="142" t="s">
        <v>271</v>
      </c>
      <c r="AB281" s="141">
        <v>1</v>
      </c>
      <c r="AC281" s="141" t="s">
        <v>118</v>
      </c>
      <c r="AD281" s="143">
        <f>AB281*'Daftar HPP'!$G$13</f>
        <v>1200</v>
      </c>
      <c r="AF281" s="141">
        <v>3</v>
      </c>
      <c r="AG281" s="142" t="s">
        <v>271</v>
      </c>
      <c r="AH281" s="141">
        <v>1</v>
      </c>
      <c r="AI281" s="141" t="s">
        <v>118</v>
      </c>
      <c r="AJ281" s="143">
        <f>AH281*'Daftar HPP'!$G$13</f>
        <v>1200</v>
      </c>
    </row>
    <row r="282" spans="2:36" x14ac:dyDescent="0.45">
      <c r="B282" s="141">
        <v>4</v>
      </c>
      <c r="C282" s="142" t="s">
        <v>17</v>
      </c>
      <c r="D282" s="141">
        <v>30</v>
      </c>
      <c r="E282" s="141" t="s">
        <v>8</v>
      </c>
      <c r="F282" s="144">
        <f>D282*'Daftar HPP'!$F$152</f>
        <v>2093.9588100686497</v>
      </c>
      <c r="H282" s="141">
        <v>4</v>
      </c>
      <c r="I282" s="142" t="s">
        <v>25</v>
      </c>
      <c r="J282" s="141">
        <v>30</v>
      </c>
      <c r="K282" s="141" t="s">
        <v>8</v>
      </c>
      <c r="L282" s="144">
        <f>J282*'Daftar HPP'!$G$22</f>
        <v>1995</v>
      </c>
      <c r="N282" s="141">
        <v>4</v>
      </c>
      <c r="O282" s="142" t="s">
        <v>105</v>
      </c>
      <c r="P282" s="141">
        <v>30</v>
      </c>
      <c r="Q282" s="141" t="s">
        <v>8</v>
      </c>
      <c r="R282" s="144">
        <f>P282*'Daftar HPP'!$F$143</f>
        <v>2146.3497453310692</v>
      </c>
      <c r="T282" s="141">
        <v>4</v>
      </c>
      <c r="U282" s="142" t="s">
        <v>17</v>
      </c>
      <c r="V282" s="141">
        <v>30</v>
      </c>
      <c r="W282" s="141" t="s">
        <v>8</v>
      </c>
      <c r="X282" s="144">
        <f>V282*'Daftar HPP'!$F$152</f>
        <v>2093.9588100686497</v>
      </c>
      <c r="Z282" s="141">
        <v>4</v>
      </c>
      <c r="AA282" s="142" t="s">
        <v>25</v>
      </c>
      <c r="AB282" s="141">
        <v>30</v>
      </c>
      <c r="AC282" s="141" t="s">
        <v>8</v>
      </c>
      <c r="AD282" s="144">
        <f>AB282*'Daftar HPP'!$G$22</f>
        <v>1995</v>
      </c>
      <c r="AF282" s="141">
        <v>4</v>
      </c>
      <c r="AG282" s="142" t="s">
        <v>105</v>
      </c>
      <c r="AH282" s="141">
        <v>30</v>
      </c>
      <c r="AI282" s="141" t="s">
        <v>8</v>
      </c>
      <c r="AJ282" s="144">
        <f>AH282*'Daftar HPP'!$F$143</f>
        <v>2146.3497453310692</v>
      </c>
    </row>
    <row r="283" spans="2:36" x14ac:dyDescent="0.45">
      <c r="B283" s="141">
        <v>5</v>
      </c>
      <c r="C283" s="142" t="s">
        <v>105</v>
      </c>
      <c r="D283" s="141">
        <v>30</v>
      </c>
      <c r="E283" s="141" t="s">
        <v>8</v>
      </c>
      <c r="F283" s="144">
        <f>D283*'Daftar HPP'!$F$143</f>
        <v>2146.3497453310692</v>
      </c>
      <c r="H283" s="141">
        <v>5</v>
      </c>
      <c r="I283" s="142" t="s">
        <v>107</v>
      </c>
      <c r="J283" s="141">
        <v>30</v>
      </c>
      <c r="K283" s="141" t="s">
        <v>8</v>
      </c>
      <c r="L283" s="144">
        <f>J283*'Daftar HPP'!$L$152</f>
        <v>2144.1036802532649</v>
      </c>
      <c r="N283" s="141">
        <v>5</v>
      </c>
      <c r="O283" s="142" t="s">
        <v>26</v>
      </c>
      <c r="P283" s="141">
        <v>30</v>
      </c>
      <c r="Q283" s="141" t="s">
        <v>8</v>
      </c>
      <c r="R283" s="144">
        <f>P283*'Daftar HPP'!$L$143</f>
        <v>1647.4064221926658</v>
      </c>
      <c r="T283" s="141">
        <v>5</v>
      </c>
      <c r="U283" s="142" t="s">
        <v>105</v>
      </c>
      <c r="V283" s="141">
        <v>30</v>
      </c>
      <c r="W283" s="141" t="s">
        <v>8</v>
      </c>
      <c r="X283" s="144">
        <f>V283*'Daftar HPP'!$F$143</f>
        <v>2146.3497453310692</v>
      </c>
      <c r="Z283" s="141">
        <v>5</v>
      </c>
      <c r="AA283" s="142" t="s">
        <v>107</v>
      </c>
      <c r="AB283" s="141">
        <v>30</v>
      </c>
      <c r="AC283" s="141" t="s">
        <v>8</v>
      </c>
      <c r="AD283" s="144">
        <f>AB283*'Daftar HPP'!$L$152</f>
        <v>2144.1036802532649</v>
      </c>
      <c r="AF283" s="141">
        <v>5</v>
      </c>
      <c r="AG283" s="142" t="s">
        <v>26</v>
      </c>
      <c r="AH283" s="141">
        <v>30</v>
      </c>
      <c r="AI283" s="141" t="s">
        <v>8</v>
      </c>
      <c r="AJ283" s="144">
        <f>AH283*'Daftar HPP'!$L$143</f>
        <v>1647.4064221926658</v>
      </c>
    </row>
    <row r="284" spans="2:36" x14ac:dyDescent="0.45">
      <c r="B284" s="141">
        <v>6</v>
      </c>
      <c r="C284" s="142" t="s">
        <v>275</v>
      </c>
      <c r="D284" s="141">
        <v>1</v>
      </c>
      <c r="E284" s="141" t="s">
        <v>8</v>
      </c>
      <c r="F284" s="144">
        <f>D284*'Daftar HPP'!$G$34</f>
        <v>500</v>
      </c>
      <c r="H284" s="141">
        <v>6</v>
      </c>
      <c r="I284" s="142" t="s">
        <v>275</v>
      </c>
      <c r="J284" s="141">
        <v>1</v>
      </c>
      <c r="K284" s="141" t="s">
        <v>8</v>
      </c>
      <c r="L284" s="144">
        <f>J284*'Daftar HPP'!$G$34</f>
        <v>500</v>
      </c>
      <c r="N284" s="141">
        <v>6</v>
      </c>
      <c r="O284" s="142" t="s">
        <v>275</v>
      </c>
      <c r="P284" s="141">
        <v>1</v>
      </c>
      <c r="Q284" s="141" t="s">
        <v>8</v>
      </c>
      <c r="R284" s="144">
        <f>P284*'Daftar HPP'!$G$34</f>
        <v>500</v>
      </c>
      <c r="T284" s="141">
        <v>6</v>
      </c>
      <c r="U284" s="142" t="s">
        <v>275</v>
      </c>
      <c r="V284" s="141">
        <v>1</v>
      </c>
      <c r="W284" s="141" t="s">
        <v>8</v>
      </c>
      <c r="X284" s="144">
        <f>V284*'Daftar HPP'!$G$34</f>
        <v>500</v>
      </c>
      <c r="Z284" s="141">
        <v>6</v>
      </c>
      <c r="AA284" s="142" t="s">
        <v>275</v>
      </c>
      <c r="AB284" s="141">
        <v>1</v>
      </c>
      <c r="AC284" s="141" t="s">
        <v>8</v>
      </c>
      <c r="AD284" s="144">
        <f>AB284*'Daftar HPP'!$G$34</f>
        <v>500</v>
      </c>
      <c r="AF284" s="141">
        <v>6</v>
      </c>
      <c r="AG284" s="142" t="s">
        <v>275</v>
      </c>
      <c r="AH284" s="141">
        <v>1</v>
      </c>
      <c r="AI284" s="141" t="s">
        <v>8</v>
      </c>
      <c r="AJ284" s="144">
        <f>AH284*'Daftar HPP'!$G$34</f>
        <v>500</v>
      </c>
    </row>
    <row r="285" spans="2:36" x14ac:dyDescent="0.45">
      <c r="B285" s="141">
        <v>7</v>
      </c>
      <c r="C285" s="142" t="s">
        <v>251</v>
      </c>
      <c r="D285" s="141">
        <v>1</v>
      </c>
      <c r="E285" s="141" t="s">
        <v>28</v>
      </c>
      <c r="F285" s="144">
        <f>D285*'Daftar HPP'!$G$39</f>
        <v>1100</v>
      </c>
      <c r="H285" s="141">
        <v>7</v>
      </c>
      <c r="I285" s="142" t="s">
        <v>251</v>
      </c>
      <c r="J285" s="141">
        <v>1</v>
      </c>
      <c r="K285" s="141" t="s">
        <v>28</v>
      </c>
      <c r="L285" s="144">
        <f>J285*'Daftar HPP'!$G$39</f>
        <v>1100</v>
      </c>
      <c r="N285" s="141">
        <v>7</v>
      </c>
      <c r="O285" s="142" t="s">
        <v>251</v>
      </c>
      <c r="P285" s="141">
        <v>1</v>
      </c>
      <c r="Q285" s="141" t="s">
        <v>28</v>
      </c>
      <c r="R285" s="144">
        <f>P285*'Daftar HPP'!$G$39</f>
        <v>1100</v>
      </c>
      <c r="T285" s="141">
        <v>7</v>
      </c>
      <c r="U285" s="142" t="s">
        <v>251</v>
      </c>
      <c r="V285" s="141">
        <v>1</v>
      </c>
      <c r="W285" s="141" t="s">
        <v>28</v>
      </c>
      <c r="X285" s="144">
        <f>V285*'Daftar HPP'!$G$39</f>
        <v>1100</v>
      </c>
      <c r="Z285" s="141">
        <v>7</v>
      </c>
      <c r="AA285" s="142" t="s">
        <v>251</v>
      </c>
      <c r="AB285" s="141">
        <v>1</v>
      </c>
      <c r="AC285" s="141" t="s">
        <v>28</v>
      </c>
      <c r="AD285" s="144">
        <f>AB285*'Daftar HPP'!$G$39</f>
        <v>1100</v>
      </c>
      <c r="AF285" s="141">
        <v>7</v>
      </c>
      <c r="AG285" s="142" t="s">
        <v>251</v>
      </c>
      <c r="AH285" s="141">
        <v>1</v>
      </c>
      <c r="AI285" s="141" t="s">
        <v>28</v>
      </c>
      <c r="AJ285" s="144">
        <f>AH285*'Daftar HPP'!$G$39</f>
        <v>1100</v>
      </c>
    </row>
    <row r="286" spans="2:36" x14ac:dyDescent="0.45">
      <c r="B286" s="153"/>
      <c r="C286" s="150"/>
      <c r="D286" s="261" t="s">
        <v>53</v>
      </c>
      <c r="E286" s="261"/>
      <c r="F286" s="190">
        <f>SUM(F279:F285)</f>
        <v>13718.671713294458</v>
      </c>
      <c r="H286" s="153"/>
      <c r="I286" s="150"/>
      <c r="J286" s="261" t="s">
        <v>53</v>
      </c>
      <c r="K286" s="261"/>
      <c r="L286" s="190">
        <f>SUM(L279:L285)</f>
        <v>13617.466838148002</v>
      </c>
      <c r="N286" s="153"/>
      <c r="O286" s="150"/>
      <c r="P286" s="261" t="s">
        <v>53</v>
      </c>
      <c r="Q286" s="261"/>
      <c r="R286" s="190">
        <f>SUM(R279:R285)</f>
        <v>13272.119325418471</v>
      </c>
      <c r="T286" s="153"/>
      <c r="U286" s="150"/>
      <c r="V286" s="261" t="s">
        <v>53</v>
      </c>
      <c r="W286" s="261"/>
      <c r="X286" s="190">
        <f>SUM(X279:X285)</f>
        <v>20397.034871189193</v>
      </c>
      <c r="Z286" s="153"/>
      <c r="AA286" s="150"/>
      <c r="AB286" s="261" t="s">
        <v>53</v>
      </c>
      <c r="AC286" s="261"/>
      <c r="AD286" s="190">
        <f>SUM(AD279:AD285)</f>
        <v>20295.829996042739</v>
      </c>
      <c r="AF286" s="153"/>
      <c r="AG286" s="150"/>
      <c r="AH286" s="261" t="s">
        <v>53</v>
      </c>
      <c r="AI286" s="261"/>
      <c r="AJ286" s="190">
        <f>SUM(AJ279:AJ285)</f>
        <v>19950.482483313212</v>
      </c>
    </row>
    <row r="287" spans="2:36" x14ac:dyDescent="0.45">
      <c r="B287" s="153"/>
      <c r="C287" s="153"/>
      <c r="D287" s="256" t="s">
        <v>116</v>
      </c>
      <c r="E287" s="256"/>
      <c r="F287" s="147">
        <v>26000</v>
      </c>
      <c r="H287" s="153"/>
      <c r="I287" s="153"/>
      <c r="J287" s="256" t="s">
        <v>116</v>
      </c>
      <c r="K287" s="256"/>
      <c r="L287" s="147">
        <v>26000</v>
      </c>
      <c r="N287" s="153"/>
      <c r="O287" s="153"/>
      <c r="P287" s="256" t="s">
        <v>116</v>
      </c>
      <c r="Q287" s="256"/>
      <c r="R287" s="147">
        <v>26000</v>
      </c>
      <c r="T287" s="153"/>
      <c r="U287" s="153"/>
      <c r="V287" s="256" t="s">
        <v>116</v>
      </c>
      <c r="W287" s="256"/>
      <c r="X287" s="147">
        <v>38000</v>
      </c>
      <c r="Z287" s="153"/>
      <c r="AA287" s="153"/>
      <c r="AB287" s="256" t="s">
        <v>116</v>
      </c>
      <c r="AC287" s="256"/>
      <c r="AD287" s="147">
        <v>38000</v>
      </c>
      <c r="AF287" s="153"/>
      <c r="AG287" s="153"/>
      <c r="AH287" s="256" t="s">
        <v>116</v>
      </c>
      <c r="AI287" s="256"/>
      <c r="AJ287" s="147">
        <v>38000</v>
      </c>
    </row>
    <row r="288" spans="2:36" x14ac:dyDescent="0.45">
      <c r="B288" s="153"/>
      <c r="C288" s="153"/>
      <c r="D288" s="256" t="s">
        <v>119</v>
      </c>
      <c r="E288" s="256"/>
      <c r="F288" s="148">
        <f>F287-F286</f>
        <v>12281.328286705542</v>
      </c>
      <c r="H288" s="153"/>
      <c r="I288" s="153"/>
      <c r="J288" s="256" t="s">
        <v>119</v>
      </c>
      <c r="K288" s="256"/>
      <c r="L288" s="148">
        <f>L287-L286</f>
        <v>12382.533161851998</v>
      </c>
      <c r="N288" s="153"/>
      <c r="O288" s="153"/>
      <c r="P288" s="256" t="s">
        <v>119</v>
      </c>
      <c r="Q288" s="256"/>
      <c r="R288" s="148">
        <f>R287-R286</f>
        <v>12727.880674581529</v>
      </c>
      <c r="T288" s="153"/>
      <c r="U288" s="153"/>
      <c r="V288" s="256" t="s">
        <v>119</v>
      </c>
      <c r="W288" s="256"/>
      <c r="X288" s="148">
        <f>X287-X286</f>
        <v>17602.965128810807</v>
      </c>
      <c r="Z288" s="153"/>
      <c r="AA288" s="153"/>
      <c r="AB288" s="256" t="s">
        <v>119</v>
      </c>
      <c r="AC288" s="256"/>
      <c r="AD288" s="148">
        <f>AD287-AD286</f>
        <v>17704.170003957261</v>
      </c>
      <c r="AF288" s="153"/>
      <c r="AG288" s="153"/>
      <c r="AH288" s="256" t="s">
        <v>119</v>
      </c>
      <c r="AI288" s="256"/>
      <c r="AJ288" s="148">
        <f>AJ287-AJ286</f>
        <v>18049.517516686788</v>
      </c>
    </row>
    <row r="289" spans="2:36" x14ac:dyDescent="0.45">
      <c r="Z289" s="153"/>
      <c r="AA289" s="153"/>
      <c r="AB289" s="206"/>
      <c r="AC289" s="206"/>
      <c r="AD289" s="157"/>
    </row>
    <row r="290" spans="2:36" ht="14.65" thickBot="1" x14ac:dyDescent="0.5">
      <c r="B290" s="2" t="s">
        <v>257</v>
      </c>
      <c r="H290" s="2" t="s">
        <v>261</v>
      </c>
      <c r="T290" s="2" t="s">
        <v>257</v>
      </c>
      <c r="Z290" s="2" t="s">
        <v>261</v>
      </c>
    </row>
    <row r="291" spans="2:36" x14ac:dyDescent="0.45">
      <c r="B291" s="119" t="s">
        <v>0</v>
      </c>
      <c r="C291" s="119" t="s">
        <v>49</v>
      </c>
      <c r="D291" s="119" t="s">
        <v>34</v>
      </c>
      <c r="E291" s="119" t="s">
        <v>50</v>
      </c>
      <c r="F291" s="119" t="s">
        <v>36</v>
      </c>
      <c r="H291" s="119" t="s">
        <v>0</v>
      </c>
      <c r="I291" s="119" t="s">
        <v>49</v>
      </c>
      <c r="J291" s="119" t="s">
        <v>34</v>
      </c>
      <c r="K291" s="119" t="s">
        <v>50</v>
      </c>
      <c r="L291" s="119" t="s">
        <v>36</v>
      </c>
      <c r="T291" s="119" t="s">
        <v>0</v>
      </c>
      <c r="U291" s="119" t="s">
        <v>49</v>
      </c>
      <c r="V291" s="119" t="s">
        <v>34</v>
      </c>
      <c r="W291" s="119" t="s">
        <v>50</v>
      </c>
      <c r="X291" s="119" t="s">
        <v>36</v>
      </c>
      <c r="Z291" s="119" t="s">
        <v>0</v>
      </c>
      <c r="AA291" s="119" t="s">
        <v>49</v>
      </c>
      <c r="AB291" s="119" t="s">
        <v>34</v>
      </c>
      <c r="AC291" s="119" t="s">
        <v>50</v>
      </c>
      <c r="AD291" s="119" t="s">
        <v>36</v>
      </c>
    </row>
    <row r="292" spans="2:36" x14ac:dyDescent="0.45">
      <c r="B292" s="141">
        <v>1</v>
      </c>
      <c r="C292" s="142" t="s">
        <v>112</v>
      </c>
      <c r="D292" s="141">
        <v>1</v>
      </c>
      <c r="E292" s="141" t="s">
        <v>6</v>
      </c>
      <c r="F292" s="143">
        <f>D292*'Daftar HPP'!$L$57</f>
        <v>4875.7315789473687</v>
      </c>
      <c r="H292" s="141">
        <v>1</v>
      </c>
      <c r="I292" s="142" t="s">
        <v>112</v>
      </c>
      <c r="J292" s="141">
        <v>1</v>
      </c>
      <c r="K292" s="141" t="s">
        <v>6</v>
      </c>
      <c r="L292" s="143">
        <f>J292*'Daftar HPP'!$L$57</f>
        <v>4875.7315789473687</v>
      </c>
      <c r="T292" s="141">
        <v>1</v>
      </c>
      <c r="U292" s="142" t="s">
        <v>112</v>
      </c>
      <c r="V292" s="141">
        <v>2</v>
      </c>
      <c r="W292" s="141" t="s">
        <v>6</v>
      </c>
      <c r="X292" s="143">
        <f>V292*'Daftar HPP'!$L$57</f>
        <v>9751.4631578947374</v>
      </c>
      <c r="Z292" s="141">
        <v>1</v>
      </c>
      <c r="AA292" s="142" t="s">
        <v>112</v>
      </c>
      <c r="AB292" s="141">
        <v>2</v>
      </c>
      <c r="AC292" s="141" t="s">
        <v>6</v>
      </c>
      <c r="AD292" s="143">
        <f>AB292*'Daftar HPP'!$L$57</f>
        <v>9751.4631578947374</v>
      </c>
    </row>
    <row r="293" spans="2:36" x14ac:dyDescent="0.45">
      <c r="B293" s="141">
        <v>2</v>
      </c>
      <c r="C293" s="142" t="s">
        <v>17</v>
      </c>
      <c r="D293" s="141">
        <v>50</v>
      </c>
      <c r="E293" s="141" t="s">
        <v>8</v>
      </c>
      <c r="F293" s="143">
        <f>D293*'Daftar HPP'!$L$122</f>
        <v>1802.6315789473686</v>
      </c>
      <c r="H293" s="141">
        <v>2</v>
      </c>
      <c r="I293" s="142" t="s">
        <v>17</v>
      </c>
      <c r="J293" s="141">
        <v>50</v>
      </c>
      <c r="K293" s="141" t="s">
        <v>8</v>
      </c>
      <c r="L293" s="143">
        <f>J293*'Daftar HPP'!$L$122</f>
        <v>1802.6315789473686</v>
      </c>
      <c r="T293" s="141">
        <v>2</v>
      </c>
      <c r="U293" s="142" t="s">
        <v>17</v>
      </c>
      <c r="V293" s="141">
        <v>100</v>
      </c>
      <c r="W293" s="141" t="s">
        <v>8</v>
      </c>
      <c r="X293" s="143">
        <f>V293*'Daftar HPP'!$L$122</f>
        <v>3605.2631578947371</v>
      </c>
      <c r="Z293" s="141">
        <v>2</v>
      </c>
      <c r="AA293" s="142" t="s">
        <v>17</v>
      </c>
      <c r="AB293" s="141">
        <v>100</v>
      </c>
      <c r="AC293" s="141" t="s">
        <v>8</v>
      </c>
      <c r="AD293" s="143">
        <f>AB293*'Daftar HPP'!$L$122</f>
        <v>3605.2631578947371</v>
      </c>
    </row>
    <row r="294" spans="2:36" x14ac:dyDescent="0.45">
      <c r="B294" s="141">
        <v>3</v>
      </c>
      <c r="C294" s="142" t="s">
        <v>271</v>
      </c>
      <c r="D294" s="141">
        <v>1</v>
      </c>
      <c r="E294" s="141" t="s">
        <v>118</v>
      </c>
      <c r="F294" s="143">
        <f>D294*'Daftar HPP'!$G$13</f>
        <v>1200</v>
      </c>
      <c r="H294" s="141">
        <v>3</v>
      </c>
      <c r="I294" s="142" t="s">
        <v>271</v>
      </c>
      <c r="J294" s="141">
        <v>1</v>
      </c>
      <c r="K294" s="141" t="s">
        <v>118</v>
      </c>
      <c r="L294" s="143">
        <f>J294*'Daftar HPP'!$G$13</f>
        <v>1200</v>
      </c>
      <c r="T294" s="141">
        <v>3</v>
      </c>
      <c r="U294" s="142" t="s">
        <v>271</v>
      </c>
      <c r="V294" s="141">
        <v>1</v>
      </c>
      <c r="W294" s="141" t="s">
        <v>118</v>
      </c>
      <c r="X294" s="143">
        <f>V294*'Daftar HPP'!$G$13</f>
        <v>1200</v>
      </c>
      <c r="Z294" s="141">
        <v>3</v>
      </c>
      <c r="AA294" s="142" t="s">
        <v>271</v>
      </c>
      <c r="AB294" s="141">
        <v>1</v>
      </c>
      <c r="AC294" s="141" t="s">
        <v>118</v>
      </c>
      <c r="AD294" s="143">
        <f>AB294*'Daftar HPP'!$G$13</f>
        <v>1200</v>
      </c>
    </row>
    <row r="295" spans="2:36" x14ac:dyDescent="0.45">
      <c r="B295" s="141">
        <v>4</v>
      </c>
      <c r="C295" s="142" t="s">
        <v>17</v>
      </c>
      <c r="D295" s="141">
        <v>30</v>
      </c>
      <c r="E295" s="141" t="s">
        <v>8</v>
      </c>
      <c r="F295" s="144">
        <f>D295*'Daftar HPP'!$F$152</f>
        <v>2093.9588100686497</v>
      </c>
      <c r="H295" s="141">
        <v>4</v>
      </c>
      <c r="I295" s="142" t="s">
        <v>25</v>
      </c>
      <c r="J295" s="141">
        <v>30</v>
      </c>
      <c r="K295" s="141" t="s">
        <v>8</v>
      </c>
      <c r="L295" s="144">
        <f>J295*'Daftar HPP'!$G$22</f>
        <v>1995</v>
      </c>
      <c r="T295" s="141">
        <v>4</v>
      </c>
      <c r="U295" s="142" t="s">
        <v>17</v>
      </c>
      <c r="V295" s="141">
        <v>30</v>
      </c>
      <c r="W295" s="141" t="s">
        <v>8</v>
      </c>
      <c r="X295" s="144">
        <f>V295*'Daftar HPP'!$F$152</f>
        <v>2093.9588100686497</v>
      </c>
      <c r="Z295" s="141">
        <v>4</v>
      </c>
      <c r="AA295" s="142" t="s">
        <v>25</v>
      </c>
      <c r="AB295" s="141">
        <v>30</v>
      </c>
      <c r="AC295" s="141" t="s">
        <v>8</v>
      </c>
      <c r="AD295" s="144">
        <f>AB295*'Daftar HPP'!$G$22</f>
        <v>1995</v>
      </c>
    </row>
    <row r="296" spans="2:36" x14ac:dyDescent="0.45">
      <c r="B296" s="141">
        <v>5</v>
      </c>
      <c r="C296" s="142" t="s">
        <v>107</v>
      </c>
      <c r="D296" s="141">
        <v>30</v>
      </c>
      <c r="E296" s="141" t="s">
        <v>8</v>
      </c>
      <c r="F296" s="144">
        <f>D296*'Daftar HPP'!$L$152</f>
        <v>2144.1036802532649</v>
      </c>
      <c r="H296" s="141">
        <v>5</v>
      </c>
      <c r="I296" s="142" t="s">
        <v>26</v>
      </c>
      <c r="J296" s="141">
        <v>30</v>
      </c>
      <c r="K296" s="141" t="s">
        <v>8</v>
      </c>
      <c r="L296" s="144">
        <f>J296*'Daftar HPP'!$L$143</f>
        <v>1647.4064221926658</v>
      </c>
      <c r="T296" s="141">
        <v>5</v>
      </c>
      <c r="U296" s="142" t="s">
        <v>107</v>
      </c>
      <c r="V296" s="141">
        <v>30</v>
      </c>
      <c r="W296" s="141" t="s">
        <v>8</v>
      </c>
      <c r="X296" s="144">
        <f>V296*'Daftar HPP'!$L$152</f>
        <v>2144.1036802532649</v>
      </c>
      <c r="Z296" s="141">
        <v>5</v>
      </c>
      <c r="AA296" s="142" t="s">
        <v>26</v>
      </c>
      <c r="AB296" s="141">
        <v>30</v>
      </c>
      <c r="AC296" s="141" t="s">
        <v>8</v>
      </c>
      <c r="AD296" s="144">
        <f>AB296*'Daftar HPP'!$L$143</f>
        <v>1647.4064221926658</v>
      </c>
    </row>
    <row r="297" spans="2:36" x14ac:dyDescent="0.45">
      <c r="B297" s="141">
        <v>6</v>
      </c>
      <c r="C297" s="142" t="s">
        <v>275</v>
      </c>
      <c r="D297" s="141">
        <v>1</v>
      </c>
      <c r="E297" s="141" t="s">
        <v>8</v>
      </c>
      <c r="F297" s="144">
        <f>D297*'Daftar HPP'!$G$34</f>
        <v>500</v>
      </c>
      <c r="H297" s="141">
        <v>6</v>
      </c>
      <c r="I297" s="142" t="s">
        <v>275</v>
      </c>
      <c r="J297" s="141">
        <v>1</v>
      </c>
      <c r="K297" s="141" t="s">
        <v>8</v>
      </c>
      <c r="L297" s="144">
        <f>J297*'Daftar HPP'!$G$34</f>
        <v>500</v>
      </c>
      <c r="T297" s="141">
        <v>6</v>
      </c>
      <c r="U297" s="142" t="s">
        <v>275</v>
      </c>
      <c r="V297" s="141">
        <v>1</v>
      </c>
      <c r="W297" s="141" t="s">
        <v>8</v>
      </c>
      <c r="X297" s="144">
        <f>V297*'Daftar HPP'!$G$34</f>
        <v>500</v>
      </c>
      <c r="Z297" s="141">
        <v>6</v>
      </c>
      <c r="AA297" s="142" t="s">
        <v>275</v>
      </c>
      <c r="AB297" s="141">
        <v>1</v>
      </c>
      <c r="AC297" s="141" t="s">
        <v>8</v>
      </c>
      <c r="AD297" s="144">
        <f>AB297*'Daftar HPP'!$G$34</f>
        <v>500</v>
      </c>
    </row>
    <row r="298" spans="2:36" x14ac:dyDescent="0.45">
      <c r="B298" s="141">
        <v>7</v>
      </c>
      <c r="C298" s="142" t="s">
        <v>251</v>
      </c>
      <c r="D298" s="141">
        <v>1</v>
      </c>
      <c r="E298" s="141" t="s">
        <v>28</v>
      </c>
      <c r="F298" s="144">
        <f>D298*'Daftar HPP'!$G$39</f>
        <v>1100</v>
      </c>
      <c r="H298" s="141">
        <v>7</v>
      </c>
      <c r="I298" s="142" t="s">
        <v>251</v>
      </c>
      <c r="J298" s="141">
        <v>1</v>
      </c>
      <c r="K298" s="141" t="s">
        <v>28</v>
      </c>
      <c r="L298" s="144">
        <f>J298*'Daftar HPP'!$G$39</f>
        <v>1100</v>
      </c>
      <c r="T298" s="141">
        <v>7</v>
      </c>
      <c r="U298" s="142" t="s">
        <v>251</v>
      </c>
      <c r="V298" s="141">
        <v>1</v>
      </c>
      <c r="W298" s="141" t="s">
        <v>28</v>
      </c>
      <c r="X298" s="144">
        <f>V298*'Daftar HPP'!$G$39</f>
        <v>1100</v>
      </c>
      <c r="Z298" s="141">
        <v>7</v>
      </c>
      <c r="AA298" s="142" t="s">
        <v>251</v>
      </c>
      <c r="AB298" s="141">
        <v>1</v>
      </c>
      <c r="AC298" s="141" t="s">
        <v>28</v>
      </c>
      <c r="AD298" s="144">
        <f>AB298*'Daftar HPP'!$G$39</f>
        <v>1100</v>
      </c>
    </row>
    <row r="299" spans="2:36" x14ac:dyDescent="0.45">
      <c r="B299" s="153"/>
      <c r="C299" s="150"/>
      <c r="D299" s="261" t="s">
        <v>53</v>
      </c>
      <c r="E299" s="261"/>
      <c r="F299" s="190">
        <f>SUM(F292:F298)</f>
        <v>13716.425648216653</v>
      </c>
      <c r="H299" s="153"/>
      <c r="I299" s="150"/>
      <c r="J299" s="257" t="s">
        <v>53</v>
      </c>
      <c r="K299" s="258"/>
      <c r="L299" s="190">
        <f>SUM(L292:L298)</f>
        <v>13120.769580087403</v>
      </c>
      <c r="T299" s="153"/>
      <c r="U299" s="150"/>
      <c r="V299" s="261" t="s">
        <v>53</v>
      </c>
      <c r="W299" s="261"/>
      <c r="X299" s="190">
        <f>SUM(X292:X298)</f>
        <v>20394.788806111388</v>
      </c>
      <c r="Z299" s="153"/>
      <c r="AA299" s="150"/>
      <c r="AB299" s="257" t="s">
        <v>53</v>
      </c>
      <c r="AC299" s="258"/>
      <c r="AD299" s="190">
        <f>SUM(AD292:AD298)</f>
        <v>19799.132737982141</v>
      </c>
    </row>
    <row r="300" spans="2:36" x14ac:dyDescent="0.45">
      <c r="B300" s="153"/>
      <c r="C300" s="153"/>
      <c r="D300" s="256" t="s">
        <v>116</v>
      </c>
      <c r="E300" s="256"/>
      <c r="F300" s="147">
        <v>26000</v>
      </c>
      <c r="H300" s="153"/>
      <c r="I300" s="153"/>
      <c r="J300" s="251" t="s">
        <v>116</v>
      </c>
      <c r="K300" s="252"/>
      <c r="L300" s="147">
        <v>26000</v>
      </c>
      <c r="T300" s="153"/>
      <c r="U300" s="153"/>
      <c r="V300" s="256" t="s">
        <v>116</v>
      </c>
      <c r="W300" s="256"/>
      <c r="X300" s="147">
        <v>38000</v>
      </c>
      <c r="Z300" s="153"/>
      <c r="AA300" s="153"/>
      <c r="AB300" s="251" t="s">
        <v>116</v>
      </c>
      <c r="AC300" s="252"/>
      <c r="AD300" s="147">
        <v>38000</v>
      </c>
    </row>
    <row r="301" spans="2:36" x14ac:dyDescent="0.45">
      <c r="B301" s="153"/>
      <c r="C301" s="153"/>
      <c r="D301" s="256" t="s">
        <v>119</v>
      </c>
      <c r="E301" s="256"/>
      <c r="F301" s="148">
        <f>F300-F299</f>
        <v>12283.574351783347</v>
      </c>
      <c r="H301" s="153"/>
      <c r="I301" s="153"/>
      <c r="J301" s="256" t="s">
        <v>119</v>
      </c>
      <c r="K301" s="256"/>
      <c r="L301" s="148">
        <f>L300-L299</f>
        <v>12879.230419912597</v>
      </c>
      <c r="T301" s="153"/>
      <c r="U301" s="153"/>
      <c r="V301" s="256" t="s">
        <v>119</v>
      </c>
      <c r="W301" s="256"/>
      <c r="X301" s="148">
        <f>X300-X299</f>
        <v>17605.211193888612</v>
      </c>
      <c r="Z301" s="153"/>
      <c r="AA301" s="153"/>
      <c r="AB301" s="256" t="s">
        <v>119</v>
      </c>
      <c r="AC301" s="256"/>
      <c r="AD301" s="148">
        <f>AD300-AD299</f>
        <v>18200.867262017859</v>
      </c>
    </row>
    <row r="302" spans="2:36" x14ac:dyDescent="0.45">
      <c r="B302" s="153"/>
      <c r="C302" s="153"/>
      <c r="D302" s="206"/>
      <c r="E302" s="206"/>
      <c r="F302" s="157"/>
      <c r="N302" s="153"/>
      <c r="O302" s="153"/>
      <c r="P302" s="206"/>
      <c r="Q302" s="206"/>
      <c r="R302" s="157"/>
      <c r="T302" s="153"/>
      <c r="U302" s="153"/>
      <c r="V302" s="206"/>
      <c r="W302" s="206"/>
      <c r="X302" s="157"/>
      <c r="AF302" s="153"/>
      <c r="AG302" s="153"/>
      <c r="AH302" s="206"/>
      <c r="AI302" s="206"/>
      <c r="AJ302" s="157"/>
    </row>
    <row r="303" spans="2:36" ht="14.65" thickBot="1" x14ac:dyDescent="0.5">
      <c r="B303" s="2" t="s">
        <v>258</v>
      </c>
      <c r="H303" s="2" t="s">
        <v>262</v>
      </c>
      <c r="N303" s="153"/>
      <c r="O303" s="153"/>
      <c r="P303" s="206"/>
      <c r="Q303" s="206"/>
      <c r="R303" s="157"/>
      <c r="T303" s="2" t="s">
        <v>258</v>
      </c>
      <c r="Z303" s="2" t="s">
        <v>262</v>
      </c>
      <c r="AF303" s="153"/>
      <c r="AG303" s="153"/>
      <c r="AH303" s="206"/>
      <c r="AI303" s="206"/>
      <c r="AJ303" s="157"/>
    </row>
    <row r="304" spans="2:36" x14ac:dyDescent="0.45">
      <c r="B304" s="119" t="s">
        <v>0</v>
      </c>
      <c r="C304" s="119" t="s">
        <v>49</v>
      </c>
      <c r="D304" s="119" t="s">
        <v>34</v>
      </c>
      <c r="E304" s="119" t="s">
        <v>50</v>
      </c>
      <c r="F304" s="119" t="s">
        <v>36</v>
      </c>
      <c r="H304" s="119" t="s">
        <v>0</v>
      </c>
      <c r="I304" s="119" t="s">
        <v>49</v>
      </c>
      <c r="J304" s="119" t="s">
        <v>34</v>
      </c>
      <c r="K304" s="119" t="s">
        <v>50</v>
      </c>
      <c r="L304" s="119" t="s">
        <v>36</v>
      </c>
      <c r="N304" s="153"/>
      <c r="O304" s="153"/>
      <c r="P304" s="206"/>
      <c r="Q304" s="206"/>
      <c r="R304" s="157"/>
      <c r="T304" s="119" t="s">
        <v>0</v>
      </c>
      <c r="U304" s="119" t="s">
        <v>49</v>
      </c>
      <c r="V304" s="119" t="s">
        <v>34</v>
      </c>
      <c r="W304" s="119" t="s">
        <v>50</v>
      </c>
      <c r="X304" s="119" t="s">
        <v>36</v>
      </c>
      <c r="Z304" s="119" t="s">
        <v>0</v>
      </c>
      <c r="AA304" s="119" t="s">
        <v>49</v>
      </c>
      <c r="AB304" s="119" t="s">
        <v>34</v>
      </c>
      <c r="AC304" s="119" t="s">
        <v>50</v>
      </c>
      <c r="AD304" s="119" t="s">
        <v>36</v>
      </c>
      <c r="AF304" s="153"/>
      <c r="AG304" s="153"/>
      <c r="AH304" s="206"/>
      <c r="AI304" s="206"/>
      <c r="AJ304" s="157"/>
    </row>
    <row r="305" spans="2:36" x14ac:dyDescent="0.45">
      <c r="B305" s="141">
        <v>1</v>
      </c>
      <c r="C305" s="142" t="s">
        <v>112</v>
      </c>
      <c r="D305" s="141">
        <v>1</v>
      </c>
      <c r="E305" s="141" t="s">
        <v>6</v>
      </c>
      <c r="F305" s="143">
        <f>D305*'Daftar HPP'!$L$57</f>
        <v>4875.7315789473687</v>
      </c>
      <c r="H305" s="141">
        <v>1</v>
      </c>
      <c r="I305" s="142" t="s">
        <v>112</v>
      </c>
      <c r="J305" s="141">
        <v>1</v>
      </c>
      <c r="K305" s="141" t="s">
        <v>6</v>
      </c>
      <c r="L305" s="143">
        <f>J305*'Daftar HPP'!$L$57</f>
        <v>4875.7315789473687</v>
      </c>
      <c r="N305" s="153"/>
      <c r="O305" s="153"/>
      <c r="P305" s="206"/>
      <c r="Q305" s="206"/>
      <c r="R305" s="157"/>
      <c r="T305" s="141">
        <v>1</v>
      </c>
      <c r="U305" s="142" t="s">
        <v>112</v>
      </c>
      <c r="V305" s="141">
        <v>2</v>
      </c>
      <c r="W305" s="141" t="s">
        <v>6</v>
      </c>
      <c r="X305" s="143">
        <f>V305*'Daftar HPP'!$L$57</f>
        <v>9751.4631578947374</v>
      </c>
      <c r="Z305" s="141">
        <v>1</v>
      </c>
      <c r="AA305" s="142" t="s">
        <v>112</v>
      </c>
      <c r="AB305" s="141">
        <v>2</v>
      </c>
      <c r="AC305" s="141" t="s">
        <v>6</v>
      </c>
      <c r="AD305" s="143">
        <f>AB305*'Daftar HPP'!$L$57</f>
        <v>9751.4631578947374</v>
      </c>
      <c r="AF305" s="153"/>
      <c r="AG305" s="153"/>
      <c r="AH305" s="206"/>
      <c r="AI305" s="206"/>
      <c r="AJ305" s="157"/>
    </row>
    <row r="306" spans="2:36" x14ac:dyDescent="0.45">
      <c r="B306" s="141">
        <v>2</v>
      </c>
      <c r="C306" s="142" t="s">
        <v>17</v>
      </c>
      <c r="D306" s="141">
        <v>50</v>
      </c>
      <c r="E306" s="141" t="s">
        <v>8</v>
      </c>
      <c r="F306" s="143">
        <f>D306*'Daftar HPP'!$L$122</f>
        <v>1802.6315789473686</v>
      </c>
      <c r="H306" s="141">
        <v>2</v>
      </c>
      <c r="I306" s="142" t="s">
        <v>17</v>
      </c>
      <c r="J306" s="141">
        <v>50</v>
      </c>
      <c r="K306" s="141" t="s">
        <v>8</v>
      </c>
      <c r="L306" s="143">
        <f>J306*'Daftar HPP'!$L$122</f>
        <v>1802.6315789473686</v>
      </c>
      <c r="N306" s="153"/>
      <c r="O306" s="153"/>
      <c r="P306" s="206"/>
      <c r="Q306" s="206"/>
      <c r="R306" s="157"/>
      <c r="T306" s="141">
        <v>2</v>
      </c>
      <c r="U306" s="142" t="s">
        <v>17</v>
      </c>
      <c r="V306" s="141">
        <v>100</v>
      </c>
      <c r="W306" s="141" t="s">
        <v>8</v>
      </c>
      <c r="X306" s="143">
        <f>V306*'Daftar HPP'!$L$122</f>
        <v>3605.2631578947371</v>
      </c>
      <c r="Z306" s="141">
        <v>2</v>
      </c>
      <c r="AA306" s="142" t="s">
        <v>17</v>
      </c>
      <c r="AB306" s="141">
        <v>100</v>
      </c>
      <c r="AC306" s="141" t="s">
        <v>8</v>
      </c>
      <c r="AD306" s="143">
        <f>AB306*'Daftar HPP'!$L$122</f>
        <v>3605.2631578947371</v>
      </c>
      <c r="AF306" s="153"/>
      <c r="AG306" s="153"/>
      <c r="AH306" s="206"/>
      <c r="AI306" s="206"/>
      <c r="AJ306" s="157"/>
    </row>
    <row r="307" spans="2:36" x14ac:dyDescent="0.45">
      <c r="B307" s="141">
        <v>3</v>
      </c>
      <c r="C307" s="142" t="s">
        <v>271</v>
      </c>
      <c r="D307" s="141">
        <v>1</v>
      </c>
      <c r="E307" s="141" t="s">
        <v>118</v>
      </c>
      <c r="F307" s="143">
        <f>D307*'Daftar HPP'!$G$13</f>
        <v>1200</v>
      </c>
      <c r="H307" s="141">
        <v>3</v>
      </c>
      <c r="I307" s="142" t="s">
        <v>271</v>
      </c>
      <c r="J307" s="141">
        <v>1</v>
      </c>
      <c r="K307" s="141" t="s">
        <v>118</v>
      </c>
      <c r="L307" s="143">
        <f>J307*'Daftar HPP'!$G$13</f>
        <v>1200</v>
      </c>
      <c r="N307" s="153"/>
      <c r="O307" s="153"/>
      <c r="P307" s="206"/>
      <c r="Q307" s="206"/>
      <c r="R307" s="157"/>
      <c r="T307" s="141">
        <v>3</v>
      </c>
      <c r="U307" s="142" t="s">
        <v>271</v>
      </c>
      <c r="V307" s="141">
        <v>1</v>
      </c>
      <c r="W307" s="141" t="s">
        <v>118</v>
      </c>
      <c r="X307" s="143">
        <f>V307*'Daftar HPP'!$G$13</f>
        <v>1200</v>
      </c>
      <c r="Z307" s="141">
        <v>3</v>
      </c>
      <c r="AA307" s="142" t="s">
        <v>271</v>
      </c>
      <c r="AB307" s="141">
        <v>1</v>
      </c>
      <c r="AC307" s="141" t="s">
        <v>118</v>
      </c>
      <c r="AD307" s="143">
        <f>AB307*'Daftar HPP'!$G$13</f>
        <v>1200</v>
      </c>
      <c r="AF307" s="153"/>
      <c r="AG307" s="153"/>
      <c r="AH307" s="206"/>
      <c r="AI307" s="206"/>
      <c r="AJ307" s="157"/>
    </row>
    <row r="308" spans="2:36" x14ac:dyDescent="0.45">
      <c r="B308" s="141">
        <v>4</v>
      </c>
      <c r="C308" s="142" t="s">
        <v>17</v>
      </c>
      <c r="D308" s="141">
        <v>30</v>
      </c>
      <c r="E308" s="141" t="s">
        <v>8</v>
      </c>
      <c r="F308" s="144">
        <f>D308*'Daftar HPP'!$F$152</f>
        <v>2093.9588100686497</v>
      </c>
      <c r="H308" s="141">
        <v>4</v>
      </c>
      <c r="I308" s="142" t="s">
        <v>107</v>
      </c>
      <c r="J308" s="141">
        <v>30</v>
      </c>
      <c r="K308" s="141" t="s">
        <v>8</v>
      </c>
      <c r="L308" s="144">
        <f>J308*'Daftar HPP'!$L$152</f>
        <v>2144.1036802532649</v>
      </c>
      <c r="N308" s="153"/>
      <c r="O308" s="153"/>
      <c r="P308" s="206"/>
      <c r="Q308" s="206"/>
      <c r="R308" s="157"/>
      <c r="T308" s="141">
        <v>4</v>
      </c>
      <c r="U308" s="142" t="s">
        <v>17</v>
      </c>
      <c r="V308" s="141">
        <v>30</v>
      </c>
      <c r="W308" s="141" t="s">
        <v>8</v>
      </c>
      <c r="X308" s="144">
        <f>V308*'Daftar HPP'!$F$152</f>
        <v>2093.9588100686497</v>
      </c>
      <c r="Z308" s="141">
        <v>4</v>
      </c>
      <c r="AA308" s="142" t="s">
        <v>107</v>
      </c>
      <c r="AB308" s="141">
        <v>30</v>
      </c>
      <c r="AC308" s="141" t="s">
        <v>8</v>
      </c>
      <c r="AD308" s="144">
        <f>AB308*'Daftar HPP'!$L$152</f>
        <v>2144.1036802532649</v>
      </c>
      <c r="AF308" s="153"/>
      <c r="AG308" s="153"/>
      <c r="AH308" s="206"/>
      <c r="AI308" s="206"/>
      <c r="AJ308" s="157"/>
    </row>
    <row r="309" spans="2:36" x14ac:dyDescent="0.45">
      <c r="B309" s="141">
        <v>5</v>
      </c>
      <c r="C309" s="142" t="s">
        <v>26</v>
      </c>
      <c r="D309" s="141">
        <v>30</v>
      </c>
      <c r="E309" s="141" t="s">
        <v>8</v>
      </c>
      <c r="F309" s="144">
        <f>D309*'Daftar HPP'!$L$143</f>
        <v>1647.4064221926658</v>
      </c>
      <c r="H309" s="141">
        <v>5</v>
      </c>
      <c r="I309" s="142" t="s">
        <v>105</v>
      </c>
      <c r="J309" s="141">
        <v>30</v>
      </c>
      <c r="K309" s="141" t="s">
        <v>8</v>
      </c>
      <c r="L309" s="144">
        <f>J309*'Daftar HPP'!$F$143</f>
        <v>2146.3497453310692</v>
      </c>
      <c r="N309" s="153"/>
      <c r="O309" s="153"/>
      <c r="P309" s="206"/>
      <c r="Q309" s="206"/>
      <c r="R309" s="157"/>
      <c r="T309" s="141">
        <v>5</v>
      </c>
      <c r="U309" s="142" t="s">
        <v>26</v>
      </c>
      <c r="V309" s="141">
        <v>30</v>
      </c>
      <c r="W309" s="141" t="s">
        <v>8</v>
      </c>
      <c r="X309" s="144">
        <f>V309*'Daftar HPP'!$L$143</f>
        <v>1647.4064221926658</v>
      </c>
      <c r="Z309" s="141">
        <v>5</v>
      </c>
      <c r="AA309" s="142" t="s">
        <v>105</v>
      </c>
      <c r="AB309" s="141">
        <v>30</v>
      </c>
      <c r="AC309" s="141" t="s">
        <v>8</v>
      </c>
      <c r="AD309" s="144">
        <f>AB309*'Daftar HPP'!$F$143</f>
        <v>2146.3497453310692</v>
      </c>
      <c r="AF309" s="153"/>
      <c r="AG309" s="153"/>
      <c r="AH309" s="206"/>
      <c r="AI309" s="206"/>
      <c r="AJ309" s="157"/>
    </row>
    <row r="310" spans="2:36" x14ac:dyDescent="0.45">
      <c r="B310" s="141">
        <v>6</v>
      </c>
      <c r="C310" s="142" t="s">
        <v>275</v>
      </c>
      <c r="D310" s="141">
        <v>1</v>
      </c>
      <c r="E310" s="141" t="s">
        <v>8</v>
      </c>
      <c r="F310" s="144">
        <f>D310*'Daftar HPP'!$G$34</f>
        <v>500</v>
      </c>
      <c r="H310" s="141">
        <v>6</v>
      </c>
      <c r="I310" s="142" t="s">
        <v>275</v>
      </c>
      <c r="J310" s="141">
        <v>1</v>
      </c>
      <c r="K310" s="141" t="s">
        <v>8</v>
      </c>
      <c r="L310" s="144">
        <f>J310*'Daftar HPP'!$G$34</f>
        <v>500</v>
      </c>
      <c r="N310" s="153"/>
      <c r="O310" s="153"/>
      <c r="P310" s="206"/>
      <c r="Q310" s="206"/>
      <c r="R310" s="157"/>
      <c r="T310" s="141">
        <v>6</v>
      </c>
      <c r="U310" s="142" t="s">
        <v>275</v>
      </c>
      <c r="V310" s="141">
        <v>1</v>
      </c>
      <c r="W310" s="141" t="s">
        <v>8</v>
      </c>
      <c r="X310" s="144">
        <f>V310*'Daftar HPP'!$G$34</f>
        <v>500</v>
      </c>
      <c r="Z310" s="141">
        <v>6</v>
      </c>
      <c r="AA310" s="142" t="s">
        <v>275</v>
      </c>
      <c r="AB310" s="141">
        <v>1</v>
      </c>
      <c r="AC310" s="141" t="s">
        <v>8</v>
      </c>
      <c r="AD310" s="144">
        <f>AB310*'Daftar HPP'!$G$34</f>
        <v>500</v>
      </c>
      <c r="AF310" s="153"/>
      <c r="AG310" s="153"/>
      <c r="AH310" s="206"/>
      <c r="AI310" s="206"/>
      <c r="AJ310" s="157"/>
    </row>
    <row r="311" spans="2:36" x14ac:dyDescent="0.45">
      <c r="B311" s="141">
        <v>7</v>
      </c>
      <c r="C311" s="142" t="s">
        <v>251</v>
      </c>
      <c r="D311" s="141">
        <v>1</v>
      </c>
      <c r="E311" s="141" t="s">
        <v>28</v>
      </c>
      <c r="F311" s="144">
        <f>D311*'Daftar HPP'!$G$39</f>
        <v>1100</v>
      </c>
      <c r="H311" s="141">
        <v>7</v>
      </c>
      <c r="I311" s="142" t="s">
        <v>251</v>
      </c>
      <c r="J311" s="141">
        <v>1</v>
      </c>
      <c r="K311" s="141" t="s">
        <v>28</v>
      </c>
      <c r="L311" s="144">
        <f>J311*'Daftar HPP'!$G$39</f>
        <v>1100</v>
      </c>
      <c r="N311" s="153"/>
      <c r="O311" s="153"/>
      <c r="P311" s="206"/>
      <c r="Q311" s="206"/>
      <c r="R311" s="157"/>
      <c r="T311" s="141">
        <v>7</v>
      </c>
      <c r="U311" s="142" t="s">
        <v>251</v>
      </c>
      <c r="V311" s="141">
        <v>1</v>
      </c>
      <c r="W311" s="141" t="s">
        <v>28</v>
      </c>
      <c r="X311" s="144">
        <f>V311*'Daftar HPP'!$G$39</f>
        <v>1100</v>
      </c>
      <c r="Z311" s="141">
        <v>7</v>
      </c>
      <c r="AA311" s="142" t="s">
        <v>251</v>
      </c>
      <c r="AB311" s="141">
        <v>1</v>
      </c>
      <c r="AC311" s="141" t="s">
        <v>28</v>
      </c>
      <c r="AD311" s="144">
        <f>AB311*'Daftar HPP'!$G$39</f>
        <v>1100</v>
      </c>
      <c r="AF311" s="153"/>
      <c r="AG311" s="153"/>
      <c r="AH311" s="206"/>
      <c r="AI311" s="206"/>
      <c r="AJ311" s="157"/>
    </row>
    <row r="312" spans="2:36" x14ac:dyDescent="0.45">
      <c r="B312" s="153"/>
      <c r="C312" s="150"/>
      <c r="D312" s="261" t="s">
        <v>53</v>
      </c>
      <c r="E312" s="261"/>
      <c r="F312" s="190">
        <f>SUM(F305:F311)</f>
        <v>13219.728390156053</v>
      </c>
      <c r="H312" s="153"/>
      <c r="I312" s="150"/>
      <c r="J312" s="261" t="s">
        <v>53</v>
      </c>
      <c r="K312" s="261"/>
      <c r="L312" s="190">
        <f>SUM(L305:L311)</f>
        <v>13768.816583479071</v>
      </c>
      <c r="N312" s="153"/>
      <c r="O312" s="153"/>
      <c r="P312" s="206"/>
      <c r="Q312" s="206"/>
      <c r="R312" s="157"/>
      <c r="T312" s="153"/>
      <c r="U312" s="150"/>
      <c r="V312" s="261" t="s">
        <v>53</v>
      </c>
      <c r="W312" s="261"/>
      <c r="X312" s="190">
        <f>SUM(X305:X311)</f>
        <v>19898.09154805079</v>
      </c>
      <c r="Z312" s="153"/>
      <c r="AA312" s="150"/>
      <c r="AB312" s="261" t="s">
        <v>53</v>
      </c>
      <c r="AC312" s="261"/>
      <c r="AD312" s="190">
        <f>SUM(AD305:AD311)</f>
        <v>20447.17974137381</v>
      </c>
      <c r="AF312" s="153"/>
      <c r="AG312" s="153"/>
      <c r="AH312" s="206"/>
      <c r="AI312" s="206"/>
      <c r="AJ312" s="157"/>
    </row>
    <row r="313" spans="2:36" x14ac:dyDescent="0.45">
      <c r="B313" s="153"/>
      <c r="C313" s="153"/>
      <c r="D313" s="256" t="s">
        <v>116</v>
      </c>
      <c r="E313" s="256"/>
      <c r="F313" s="147">
        <v>26000</v>
      </c>
      <c r="H313" s="153"/>
      <c r="I313" s="153"/>
      <c r="J313" s="256" t="s">
        <v>116</v>
      </c>
      <c r="K313" s="256"/>
      <c r="L313" s="147">
        <v>26000</v>
      </c>
      <c r="N313" s="153"/>
      <c r="O313" s="153"/>
      <c r="P313" s="206"/>
      <c r="Q313" s="206"/>
      <c r="R313" s="157"/>
      <c r="T313" s="153"/>
      <c r="U313" s="153"/>
      <c r="V313" s="256" t="s">
        <v>116</v>
      </c>
      <c r="W313" s="256"/>
      <c r="X313" s="147">
        <v>38000</v>
      </c>
      <c r="Z313" s="153"/>
      <c r="AA313" s="153"/>
      <c r="AB313" s="256" t="s">
        <v>116</v>
      </c>
      <c r="AC313" s="256"/>
      <c r="AD313" s="147">
        <v>38000</v>
      </c>
      <c r="AF313" s="153"/>
      <c r="AG313" s="153"/>
      <c r="AH313" s="206"/>
      <c r="AI313" s="206"/>
      <c r="AJ313" s="157"/>
    </row>
    <row r="314" spans="2:36" x14ac:dyDescent="0.45">
      <c r="B314" s="153"/>
      <c r="C314" s="153"/>
      <c r="D314" s="256" t="s">
        <v>119</v>
      </c>
      <c r="E314" s="256"/>
      <c r="F314" s="148">
        <f>F313-F312</f>
        <v>12780.271609843947</v>
      </c>
      <c r="H314" s="153"/>
      <c r="I314" s="153"/>
      <c r="J314" s="256" t="s">
        <v>119</v>
      </c>
      <c r="K314" s="256"/>
      <c r="L314" s="148">
        <f>L313-L312</f>
        <v>12231.183416520929</v>
      </c>
      <c r="N314" s="153"/>
      <c r="O314" s="153"/>
      <c r="P314" s="206"/>
      <c r="Q314" s="206"/>
      <c r="R314" s="157"/>
      <c r="T314" s="153"/>
      <c r="U314" s="153"/>
      <c r="V314" s="256" t="s">
        <v>119</v>
      </c>
      <c r="W314" s="256"/>
      <c r="X314" s="148">
        <f>X313-X312</f>
        <v>18101.90845194921</v>
      </c>
      <c r="Z314" s="153"/>
      <c r="AA314" s="153"/>
      <c r="AB314" s="256" t="s">
        <v>119</v>
      </c>
      <c r="AC314" s="256"/>
      <c r="AD314" s="148">
        <f>AD313-AD312</f>
        <v>17552.82025862619</v>
      </c>
      <c r="AF314" s="153"/>
      <c r="AG314" s="153"/>
      <c r="AH314" s="206"/>
      <c r="AI314" s="206"/>
      <c r="AJ314" s="157"/>
    </row>
    <row r="316" spans="2:36" x14ac:dyDescent="0.45">
      <c r="B316" s="2" t="s">
        <v>342</v>
      </c>
      <c r="T316" s="2" t="s">
        <v>348</v>
      </c>
    </row>
    <row r="317" spans="2:36" x14ac:dyDescent="0.45">
      <c r="B317" s="122" t="s">
        <v>0</v>
      </c>
      <c r="C317" s="244" t="s">
        <v>125</v>
      </c>
      <c r="D317" s="244"/>
      <c r="E317" s="122" t="s">
        <v>34</v>
      </c>
      <c r="F317" s="122" t="s">
        <v>50</v>
      </c>
      <c r="G317" s="123" t="s">
        <v>126</v>
      </c>
      <c r="H317" s="124" t="s">
        <v>119</v>
      </c>
      <c r="I317" s="137" t="s">
        <v>127</v>
      </c>
      <c r="J317" s="198"/>
      <c r="T317" s="122" t="s">
        <v>0</v>
      </c>
      <c r="U317" s="244" t="s">
        <v>125</v>
      </c>
      <c r="V317" s="244"/>
      <c r="W317" s="122" t="s">
        <v>34</v>
      </c>
      <c r="X317" s="122" t="s">
        <v>50</v>
      </c>
      <c r="Y317" s="123" t="s">
        <v>126</v>
      </c>
      <c r="Z317" s="124" t="s">
        <v>119</v>
      </c>
      <c r="AA317" s="137" t="s">
        <v>127</v>
      </c>
    </row>
    <row r="318" spans="2:36" x14ac:dyDescent="0.45">
      <c r="B318" s="19">
        <v>1</v>
      </c>
      <c r="C318" s="242" t="s">
        <v>276</v>
      </c>
      <c r="D318" s="242"/>
      <c r="E318" s="19">
        <v>1</v>
      </c>
      <c r="F318" s="19" t="s">
        <v>118</v>
      </c>
      <c r="G318" s="16">
        <f>F11</f>
        <v>11764.690389016017</v>
      </c>
      <c r="H318" s="176">
        <f>I318-G318</f>
        <v>11235.309610983983</v>
      </c>
      <c r="I318" s="176">
        <f>F12</f>
        <v>23000</v>
      </c>
      <c r="T318" s="19">
        <v>1</v>
      </c>
      <c r="U318" s="242" t="s">
        <v>276</v>
      </c>
      <c r="V318" s="242"/>
      <c r="W318" s="19">
        <v>1</v>
      </c>
      <c r="X318" s="19" t="s">
        <v>118</v>
      </c>
      <c r="Y318" s="16">
        <f>X11</f>
        <v>16640.421967963386</v>
      </c>
      <c r="Z318" s="176">
        <f>AA318-Y318</f>
        <v>15359.578032036614</v>
      </c>
      <c r="AA318" s="176">
        <f>X12</f>
        <v>32000</v>
      </c>
    </row>
    <row r="319" spans="2:36" x14ac:dyDescent="0.45">
      <c r="B319" s="19">
        <v>2</v>
      </c>
      <c r="C319" s="242" t="s">
        <v>277</v>
      </c>
      <c r="D319" s="242"/>
      <c r="E319" s="19">
        <v>1</v>
      </c>
      <c r="F319" s="19" t="s">
        <v>118</v>
      </c>
      <c r="G319" s="16">
        <f>F23</f>
        <v>11916.040134347088</v>
      </c>
      <c r="H319" s="176">
        <f t="shared" ref="H319:H327" si="0">I319-G319</f>
        <v>11083.959865652912</v>
      </c>
      <c r="I319" s="176">
        <f>F24</f>
        <v>23000</v>
      </c>
      <c r="T319" s="19">
        <v>2</v>
      </c>
      <c r="U319" s="242" t="s">
        <v>277</v>
      </c>
      <c r="V319" s="242"/>
      <c r="W319" s="19">
        <v>1</v>
      </c>
      <c r="X319" s="19" t="s">
        <v>118</v>
      </c>
      <c r="Y319" s="16">
        <f>X23</f>
        <v>16791.771713294456</v>
      </c>
      <c r="Z319" s="176">
        <f t="shared" ref="Z319:Z327" si="1">AA319-Y319</f>
        <v>15208.228286705544</v>
      </c>
      <c r="AA319" s="176">
        <f>X24</f>
        <v>32000</v>
      </c>
    </row>
    <row r="320" spans="2:36" x14ac:dyDescent="0.45">
      <c r="B320" s="19">
        <v>3</v>
      </c>
      <c r="C320" s="242" t="s">
        <v>278</v>
      </c>
      <c r="D320" s="242"/>
      <c r="E320" s="19">
        <v>1</v>
      </c>
      <c r="F320" s="19" t="s">
        <v>118</v>
      </c>
      <c r="G320" s="16">
        <f>F35</f>
        <v>11913.794069269283</v>
      </c>
      <c r="H320" s="176">
        <f t="shared" si="0"/>
        <v>11086.205930730717</v>
      </c>
      <c r="I320" s="176">
        <f>F36</f>
        <v>23000</v>
      </c>
      <c r="T320" s="19">
        <v>3</v>
      </c>
      <c r="U320" s="242" t="s">
        <v>278</v>
      </c>
      <c r="V320" s="242"/>
      <c r="W320" s="19">
        <v>1</v>
      </c>
      <c r="X320" s="19" t="s">
        <v>118</v>
      </c>
      <c r="Y320" s="16">
        <f>X35</f>
        <v>16789.525648216651</v>
      </c>
      <c r="Z320" s="176">
        <f t="shared" si="1"/>
        <v>15210.474351783349</v>
      </c>
      <c r="AA320" s="176">
        <f>X36</f>
        <v>32000</v>
      </c>
    </row>
    <row r="321" spans="2:27" x14ac:dyDescent="0.45">
      <c r="B321" s="19">
        <v>4</v>
      </c>
      <c r="C321" s="242" t="s">
        <v>279</v>
      </c>
      <c r="D321" s="242"/>
      <c r="E321" s="19">
        <v>1</v>
      </c>
      <c r="F321" s="19" t="s">
        <v>118</v>
      </c>
      <c r="G321" s="16">
        <f>F47</f>
        <v>11417.096811208685</v>
      </c>
      <c r="H321" s="176">
        <f t="shared" si="0"/>
        <v>11582.903188791315</v>
      </c>
      <c r="I321" s="176">
        <f>F48</f>
        <v>23000</v>
      </c>
      <c r="T321" s="19">
        <v>4</v>
      </c>
      <c r="U321" s="242" t="s">
        <v>279</v>
      </c>
      <c r="V321" s="242"/>
      <c r="W321" s="19">
        <v>1</v>
      </c>
      <c r="X321" s="19" t="s">
        <v>118</v>
      </c>
      <c r="Y321" s="16">
        <f>X47</f>
        <v>16292.828390156052</v>
      </c>
      <c r="Z321" s="176">
        <f t="shared" si="1"/>
        <v>15707.171609843948</v>
      </c>
      <c r="AA321" s="176">
        <f>X48</f>
        <v>32000</v>
      </c>
    </row>
    <row r="322" spans="2:27" x14ac:dyDescent="0.45">
      <c r="B322" s="19">
        <v>5</v>
      </c>
      <c r="C322" s="242" t="s">
        <v>280</v>
      </c>
      <c r="D322" s="242"/>
      <c r="E322" s="19">
        <v>1</v>
      </c>
      <c r="F322" s="19" t="s">
        <v>118</v>
      </c>
      <c r="G322" s="16">
        <f>L11</f>
        <v>11817.081324278439</v>
      </c>
      <c r="H322" s="176">
        <f t="shared" si="0"/>
        <v>11182.918675721561</v>
      </c>
      <c r="I322" s="176">
        <f>L12</f>
        <v>23000</v>
      </c>
      <c r="T322" s="19">
        <v>5</v>
      </c>
      <c r="U322" s="242" t="s">
        <v>280</v>
      </c>
      <c r="V322" s="242"/>
      <c r="W322" s="19">
        <v>1</v>
      </c>
      <c r="X322" s="19" t="s">
        <v>118</v>
      </c>
      <c r="Y322" s="16">
        <f>AD11</f>
        <v>16692.812903225808</v>
      </c>
      <c r="Z322" s="176">
        <f t="shared" si="1"/>
        <v>15307.187096774192</v>
      </c>
      <c r="AA322" s="176">
        <f>AD12</f>
        <v>32000</v>
      </c>
    </row>
    <row r="323" spans="2:27" x14ac:dyDescent="0.45">
      <c r="B323" s="19">
        <v>6</v>
      </c>
      <c r="C323" s="242" t="s">
        <v>281</v>
      </c>
      <c r="D323" s="242"/>
      <c r="E323" s="19">
        <v>1</v>
      </c>
      <c r="F323" s="19" t="s">
        <v>118</v>
      </c>
      <c r="G323" s="16">
        <f>L23</f>
        <v>11814.835259200634</v>
      </c>
      <c r="H323" s="176">
        <f t="shared" si="0"/>
        <v>11185.164740799366</v>
      </c>
      <c r="I323" s="176">
        <f>L24</f>
        <v>23000</v>
      </c>
      <c r="T323" s="19">
        <v>6</v>
      </c>
      <c r="U323" s="242" t="s">
        <v>281</v>
      </c>
      <c r="V323" s="242"/>
      <c r="W323" s="19">
        <v>1</v>
      </c>
      <c r="X323" s="19" t="s">
        <v>118</v>
      </c>
      <c r="Y323" s="16">
        <f>AD23</f>
        <v>16690.566838148003</v>
      </c>
      <c r="Z323" s="176">
        <f t="shared" si="1"/>
        <v>15309.433161851997</v>
      </c>
      <c r="AA323" s="176">
        <f>AD24</f>
        <v>32000</v>
      </c>
    </row>
    <row r="324" spans="2:27" x14ac:dyDescent="0.45">
      <c r="B324" s="19">
        <v>7</v>
      </c>
      <c r="C324" s="242" t="s">
        <v>282</v>
      </c>
      <c r="D324" s="242"/>
      <c r="E324" s="19">
        <v>1</v>
      </c>
      <c r="F324" s="19" t="s">
        <v>118</v>
      </c>
      <c r="G324" s="16">
        <f>L35</f>
        <v>11318.138001140034</v>
      </c>
      <c r="H324" s="176">
        <f t="shared" si="0"/>
        <v>11681.861998859966</v>
      </c>
      <c r="I324" s="176">
        <f>L36</f>
        <v>23000</v>
      </c>
      <c r="T324" s="19">
        <v>7</v>
      </c>
      <c r="U324" s="242" t="s">
        <v>282</v>
      </c>
      <c r="V324" s="242"/>
      <c r="W324" s="19">
        <v>1</v>
      </c>
      <c r="X324" s="19" t="s">
        <v>118</v>
      </c>
      <c r="Y324" s="16">
        <f>AD35</f>
        <v>16193.869580087403</v>
      </c>
      <c r="Z324" s="176">
        <f t="shared" si="1"/>
        <v>15806.130419912597</v>
      </c>
      <c r="AA324" s="176">
        <f>AD36</f>
        <v>32000</v>
      </c>
    </row>
    <row r="325" spans="2:27" x14ac:dyDescent="0.45">
      <c r="B325" s="19">
        <v>8</v>
      </c>
      <c r="C325" s="242" t="s">
        <v>283</v>
      </c>
      <c r="D325" s="242"/>
      <c r="E325" s="19">
        <v>1</v>
      </c>
      <c r="F325" s="19" t="s">
        <v>118</v>
      </c>
      <c r="G325" s="16">
        <f>L47</f>
        <v>11966.185004531704</v>
      </c>
      <c r="H325" s="176">
        <f t="shared" si="0"/>
        <v>11033.814995468296</v>
      </c>
      <c r="I325" s="176">
        <f>L48</f>
        <v>23000</v>
      </c>
      <c r="T325" s="19">
        <v>8</v>
      </c>
      <c r="U325" s="242" t="s">
        <v>283</v>
      </c>
      <c r="V325" s="242"/>
      <c r="W325" s="19">
        <v>1</v>
      </c>
      <c r="X325" s="19" t="s">
        <v>118</v>
      </c>
      <c r="Y325" s="16">
        <f>AD47</f>
        <v>16841.916583479073</v>
      </c>
      <c r="Z325" s="176">
        <f t="shared" si="1"/>
        <v>15158.083416520927</v>
      </c>
      <c r="AA325" s="176">
        <f>AD48</f>
        <v>32000</v>
      </c>
    </row>
    <row r="326" spans="2:27" x14ac:dyDescent="0.45">
      <c r="B326" s="19">
        <v>9</v>
      </c>
      <c r="C326" s="242" t="s">
        <v>284</v>
      </c>
      <c r="D326" s="242"/>
      <c r="E326" s="19">
        <v>1</v>
      </c>
      <c r="F326" s="19" t="s">
        <v>118</v>
      </c>
      <c r="G326" s="16">
        <f>R11</f>
        <v>11467.2416813933</v>
      </c>
      <c r="H326" s="176">
        <f t="shared" si="0"/>
        <v>11532.7583186067</v>
      </c>
      <c r="I326" s="176">
        <f>R12</f>
        <v>23000</v>
      </c>
      <c r="T326" s="19">
        <v>9</v>
      </c>
      <c r="U326" s="242" t="s">
        <v>284</v>
      </c>
      <c r="V326" s="242"/>
      <c r="W326" s="19">
        <v>1</v>
      </c>
      <c r="X326" s="19" t="s">
        <v>118</v>
      </c>
      <c r="Y326" s="16">
        <f>AJ11</f>
        <v>16342.973260340668</v>
      </c>
      <c r="Z326" s="176">
        <f t="shared" si="1"/>
        <v>15657.026739659332</v>
      </c>
      <c r="AA326" s="176">
        <f>AJ12</f>
        <v>32000</v>
      </c>
    </row>
    <row r="327" spans="2:27" x14ac:dyDescent="0.45">
      <c r="B327" s="19">
        <v>10</v>
      </c>
      <c r="C327" s="128" t="s">
        <v>317</v>
      </c>
      <c r="D327" s="128"/>
      <c r="E327" s="19">
        <v>1</v>
      </c>
      <c r="F327" s="19" t="s">
        <v>118</v>
      </c>
      <c r="G327" s="16">
        <f>R23</f>
        <v>11469.487746471104</v>
      </c>
      <c r="H327" s="176">
        <f t="shared" si="0"/>
        <v>11530.512253528896</v>
      </c>
      <c r="I327" s="176">
        <f>R24</f>
        <v>23000</v>
      </c>
      <c r="T327" s="19">
        <v>10</v>
      </c>
      <c r="U327" s="128" t="s">
        <v>317</v>
      </c>
      <c r="V327" s="128"/>
      <c r="W327" s="19">
        <v>1</v>
      </c>
      <c r="X327" s="19" t="s">
        <v>118</v>
      </c>
      <c r="Y327" s="16">
        <f>AJ23</f>
        <v>16345.219325418473</v>
      </c>
      <c r="Z327" s="176">
        <f t="shared" si="1"/>
        <v>15654.780674581527</v>
      </c>
      <c r="AA327" s="176">
        <f>AJ24</f>
        <v>32000</v>
      </c>
    </row>
    <row r="329" spans="2:27" x14ac:dyDescent="0.45">
      <c r="B329" s="2" t="s">
        <v>343</v>
      </c>
      <c r="T329" s="2" t="s">
        <v>349</v>
      </c>
    </row>
    <row r="330" spans="2:27" x14ac:dyDescent="0.45">
      <c r="B330" s="122" t="s">
        <v>0</v>
      </c>
      <c r="C330" s="244" t="s">
        <v>125</v>
      </c>
      <c r="D330" s="244"/>
      <c r="E330" s="122" t="s">
        <v>34</v>
      </c>
      <c r="F330" s="122" t="s">
        <v>50</v>
      </c>
      <c r="G330" s="123" t="s">
        <v>126</v>
      </c>
      <c r="H330" s="124" t="s">
        <v>119</v>
      </c>
      <c r="I330" s="137" t="s">
        <v>127</v>
      </c>
      <c r="T330" s="122" t="s">
        <v>0</v>
      </c>
      <c r="U330" s="244" t="s">
        <v>125</v>
      </c>
      <c r="V330" s="244"/>
      <c r="W330" s="122" t="s">
        <v>34</v>
      </c>
      <c r="X330" s="122" t="s">
        <v>50</v>
      </c>
      <c r="Y330" s="123" t="s">
        <v>126</v>
      </c>
      <c r="Z330" s="124" t="s">
        <v>119</v>
      </c>
      <c r="AA330" s="137" t="s">
        <v>127</v>
      </c>
    </row>
    <row r="331" spans="2:27" x14ac:dyDescent="0.45">
      <c r="B331" s="19">
        <v>1</v>
      </c>
      <c r="C331" s="242" t="s">
        <v>276</v>
      </c>
      <c r="D331" s="242"/>
      <c r="E331" s="19">
        <v>1</v>
      </c>
      <c r="F331" s="19" t="s">
        <v>118</v>
      </c>
      <c r="G331" s="16">
        <f>F61</f>
        <v>13638.773323625268</v>
      </c>
      <c r="H331" s="176">
        <f>I331-G331</f>
        <v>12361.226676374732</v>
      </c>
      <c r="I331" s="176">
        <f>F115</f>
        <v>26000</v>
      </c>
      <c r="T331" s="19">
        <v>1</v>
      </c>
      <c r="U331" s="242" t="s">
        <v>276</v>
      </c>
      <c r="V331" s="242"/>
      <c r="W331" s="19">
        <v>1</v>
      </c>
      <c r="X331" s="19" t="s">
        <v>118</v>
      </c>
      <c r="Y331" s="16">
        <f>X61</f>
        <v>20388.587837181887</v>
      </c>
      <c r="Z331" s="176">
        <f t="shared" ref="Z331:Z340" si="2">AA331-Y331</f>
        <v>17611.412162818113</v>
      </c>
      <c r="AA331" s="176">
        <f>X62</f>
        <v>38000</v>
      </c>
    </row>
    <row r="332" spans="2:27" x14ac:dyDescent="0.45">
      <c r="B332" s="19">
        <v>2</v>
      </c>
      <c r="C332" s="242" t="s">
        <v>277</v>
      </c>
      <c r="D332" s="242"/>
      <c r="E332" s="19">
        <v>1</v>
      </c>
      <c r="F332" s="19" t="s">
        <v>118</v>
      </c>
      <c r="G332" s="16">
        <f>F74</f>
        <v>13790.123068956338</v>
      </c>
      <c r="H332" s="176">
        <f t="shared" ref="H332:H340" si="3">I332-G332</f>
        <v>12209.876931043662</v>
      </c>
      <c r="I332" s="176">
        <f>F75</f>
        <v>26000</v>
      </c>
      <c r="T332" s="19">
        <v>2</v>
      </c>
      <c r="U332" s="242" t="s">
        <v>277</v>
      </c>
      <c r="V332" s="242"/>
      <c r="W332" s="19">
        <v>1</v>
      </c>
      <c r="X332" s="19" t="s">
        <v>118</v>
      </c>
      <c r="Y332" s="16">
        <f>X74</f>
        <v>20539.937582512957</v>
      </c>
      <c r="Z332" s="176">
        <f t="shared" si="2"/>
        <v>17460.062417487043</v>
      </c>
      <c r="AA332" s="176">
        <f>X75</f>
        <v>38000</v>
      </c>
    </row>
    <row r="333" spans="2:27" x14ac:dyDescent="0.45">
      <c r="B333" s="19">
        <v>3</v>
      </c>
      <c r="C333" s="242" t="s">
        <v>278</v>
      </c>
      <c r="D333" s="242"/>
      <c r="E333" s="19">
        <v>1</v>
      </c>
      <c r="F333" s="19" t="s">
        <v>118</v>
      </c>
      <c r="G333" s="16">
        <f>F87</f>
        <v>13787.877003878533</v>
      </c>
      <c r="H333" s="176">
        <f t="shared" si="3"/>
        <v>12212.122996121467</v>
      </c>
      <c r="I333" s="176">
        <f>F88</f>
        <v>26000</v>
      </c>
      <c r="T333" s="19">
        <v>3</v>
      </c>
      <c r="U333" s="242" t="s">
        <v>278</v>
      </c>
      <c r="V333" s="242"/>
      <c r="W333" s="19">
        <v>1</v>
      </c>
      <c r="X333" s="19" t="s">
        <v>118</v>
      </c>
      <c r="Y333" s="16">
        <f>X87</f>
        <v>20537.691517435152</v>
      </c>
      <c r="Z333" s="176">
        <f t="shared" si="2"/>
        <v>17462.308482564848</v>
      </c>
      <c r="AA333" s="176">
        <f>X88</f>
        <v>38000</v>
      </c>
    </row>
    <row r="334" spans="2:27" x14ac:dyDescent="0.45">
      <c r="B334" s="19">
        <v>4</v>
      </c>
      <c r="C334" s="242" t="s">
        <v>279</v>
      </c>
      <c r="D334" s="242"/>
      <c r="E334" s="19">
        <v>1</v>
      </c>
      <c r="F334" s="19" t="s">
        <v>118</v>
      </c>
      <c r="G334" s="16">
        <f>F100</f>
        <v>13291.179745817934</v>
      </c>
      <c r="H334" s="176">
        <f t="shared" si="3"/>
        <v>12708.820254182066</v>
      </c>
      <c r="I334" s="176">
        <f>F101</f>
        <v>26000</v>
      </c>
      <c r="T334" s="19">
        <v>4</v>
      </c>
      <c r="U334" s="242" t="s">
        <v>279</v>
      </c>
      <c r="V334" s="242"/>
      <c r="W334" s="19">
        <v>1</v>
      </c>
      <c r="X334" s="19" t="s">
        <v>118</v>
      </c>
      <c r="Y334" s="16">
        <f>X100</f>
        <v>20040.994259374555</v>
      </c>
      <c r="Z334" s="176">
        <f t="shared" si="2"/>
        <v>17959.005740625445</v>
      </c>
      <c r="AA334" s="176">
        <f>X101</f>
        <v>38000</v>
      </c>
    </row>
    <row r="335" spans="2:27" x14ac:dyDescent="0.45">
      <c r="B335" s="19">
        <v>5</v>
      </c>
      <c r="C335" s="242" t="s">
        <v>280</v>
      </c>
      <c r="D335" s="242"/>
      <c r="E335" s="19">
        <v>1</v>
      </c>
      <c r="F335" s="19" t="s">
        <v>118</v>
      </c>
      <c r="G335" s="16">
        <f>L61</f>
        <v>13691.164258887689</v>
      </c>
      <c r="H335" s="176">
        <f t="shared" si="3"/>
        <v>12308.835741112311</v>
      </c>
      <c r="I335" s="176">
        <f>L62</f>
        <v>26000</v>
      </c>
      <c r="T335" s="19">
        <v>5</v>
      </c>
      <c r="U335" s="242" t="s">
        <v>280</v>
      </c>
      <c r="V335" s="242"/>
      <c r="W335" s="19">
        <v>1</v>
      </c>
      <c r="X335" s="19" t="s">
        <v>118</v>
      </c>
      <c r="Y335" s="16">
        <f>AD61</f>
        <v>20440.978772444309</v>
      </c>
      <c r="Z335" s="176">
        <f t="shared" si="2"/>
        <v>17559.021227555691</v>
      </c>
      <c r="AA335" s="176">
        <f>AD62</f>
        <v>38000</v>
      </c>
    </row>
    <row r="336" spans="2:27" x14ac:dyDescent="0.45">
      <c r="B336" s="19">
        <v>6</v>
      </c>
      <c r="C336" s="242" t="s">
        <v>281</v>
      </c>
      <c r="D336" s="242"/>
      <c r="E336" s="19">
        <v>1</v>
      </c>
      <c r="F336" s="19" t="s">
        <v>118</v>
      </c>
      <c r="G336" s="16">
        <f>L74</f>
        <v>13688.918193809885</v>
      </c>
      <c r="H336" s="176">
        <f t="shared" si="3"/>
        <v>12311.081806190115</v>
      </c>
      <c r="I336" s="176">
        <f>L75</f>
        <v>26000</v>
      </c>
      <c r="T336" s="19">
        <v>6</v>
      </c>
      <c r="U336" s="242" t="s">
        <v>281</v>
      </c>
      <c r="V336" s="242"/>
      <c r="W336" s="19">
        <v>1</v>
      </c>
      <c r="X336" s="19" t="s">
        <v>118</v>
      </c>
      <c r="Y336" s="16">
        <f>AD74</f>
        <v>20438.732707366504</v>
      </c>
      <c r="Z336" s="176">
        <f t="shared" si="2"/>
        <v>17561.267292633496</v>
      </c>
      <c r="AA336" s="176">
        <f>AD75</f>
        <v>38000</v>
      </c>
    </row>
    <row r="337" spans="2:27" x14ac:dyDescent="0.45">
      <c r="B337" s="19">
        <v>7</v>
      </c>
      <c r="C337" s="242" t="s">
        <v>282</v>
      </c>
      <c r="D337" s="242"/>
      <c r="E337" s="19">
        <v>1</v>
      </c>
      <c r="F337" s="19" t="s">
        <v>118</v>
      </c>
      <c r="G337" s="16">
        <f>L87</f>
        <v>13192.220935749285</v>
      </c>
      <c r="H337" s="176">
        <f t="shared" si="3"/>
        <v>12807.779064250715</v>
      </c>
      <c r="I337" s="176">
        <f>L88</f>
        <v>26000</v>
      </c>
      <c r="T337" s="19">
        <v>7</v>
      </c>
      <c r="U337" s="242" t="s">
        <v>282</v>
      </c>
      <c r="V337" s="242"/>
      <c r="W337" s="19">
        <v>1</v>
      </c>
      <c r="X337" s="19" t="s">
        <v>118</v>
      </c>
      <c r="Y337" s="16">
        <f>AD87</f>
        <v>19942.035449305906</v>
      </c>
      <c r="Z337" s="176">
        <f t="shared" si="2"/>
        <v>18057.964550694094</v>
      </c>
      <c r="AA337" s="176">
        <f>AD88</f>
        <v>38000</v>
      </c>
    </row>
    <row r="338" spans="2:27" x14ac:dyDescent="0.45">
      <c r="B338" s="19">
        <v>8</v>
      </c>
      <c r="C338" s="242" t="s">
        <v>283</v>
      </c>
      <c r="D338" s="242"/>
      <c r="E338" s="19">
        <v>1</v>
      </c>
      <c r="F338" s="19" t="s">
        <v>118</v>
      </c>
      <c r="G338" s="16">
        <f>L100</f>
        <v>13840.267939140955</v>
      </c>
      <c r="H338" s="176">
        <f t="shared" si="3"/>
        <v>12159.732060859045</v>
      </c>
      <c r="I338" s="176">
        <f>L101</f>
        <v>26000</v>
      </c>
      <c r="T338" s="19">
        <v>8</v>
      </c>
      <c r="U338" s="242" t="s">
        <v>283</v>
      </c>
      <c r="V338" s="242"/>
      <c r="W338" s="19">
        <v>1</v>
      </c>
      <c r="X338" s="19" t="s">
        <v>118</v>
      </c>
      <c r="Y338" s="16">
        <f>AD100</f>
        <v>20590.082452697574</v>
      </c>
      <c r="Z338" s="176">
        <f t="shared" si="2"/>
        <v>17409.917547302426</v>
      </c>
      <c r="AA338" s="176">
        <f>AD88</f>
        <v>38000</v>
      </c>
    </row>
    <row r="339" spans="2:27" x14ac:dyDescent="0.45">
      <c r="B339" s="19">
        <v>9</v>
      </c>
      <c r="C339" s="242" t="s">
        <v>284</v>
      </c>
      <c r="D339" s="242"/>
      <c r="E339" s="19">
        <v>1</v>
      </c>
      <c r="F339" s="19" t="s">
        <v>118</v>
      </c>
      <c r="G339" s="16">
        <f>R61</f>
        <v>13341.32461600255</v>
      </c>
      <c r="H339" s="176">
        <f t="shared" si="3"/>
        <v>12658.67538399745</v>
      </c>
      <c r="I339" s="176">
        <f>R62</f>
        <v>26000</v>
      </c>
      <c r="T339" s="19">
        <v>9</v>
      </c>
      <c r="U339" s="242" t="s">
        <v>284</v>
      </c>
      <c r="V339" s="242"/>
      <c r="W339" s="19">
        <v>1</v>
      </c>
      <c r="X339" s="19" t="s">
        <v>118</v>
      </c>
      <c r="Y339" s="16">
        <f>AJ61</f>
        <v>20091.139129559171</v>
      </c>
      <c r="Z339" s="176">
        <f t="shared" si="2"/>
        <v>17908.860870440829</v>
      </c>
      <c r="AA339" s="176">
        <f>AD101</f>
        <v>38000</v>
      </c>
    </row>
    <row r="340" spans="2:27" x14ac:dyDescent="0.45">
      <c r="B340" s="19">
        <v>10</v>
      </c>
      <c r="C340" s="128" t="s">
        <v>317</v>
      </c>
      <c r="D340" s="128"/>
      <c r="E340" s="19">
        <v>1</v>
      </c>
      <c r="F340" s="19" t="s">
        <v>118</v>
      </c>
      <c r="G340" s="16">
        <f>R74</f>
        <v>13343.570681080355</v>
      </c>
      <c r="H340" s="176">
        <f t="shared" si="3"/>
        <v>12656.429318919645</v>
      </c>
      <c r="I340" s="176">
        <f>R75</f>
        <v>26000</v>
      </c>
      <c r="T340" s="19">
        <v>10</v>
      </c>
      <c r="U340" s="128" t="s">
        <v>317</v>
      </c>
      <c r="V340" s="128"/>
      <c r="W340" s="19">
        <v>1</v>
      </c>
      <c r="X340" s="19" t="s">
        <v>118</v>
      </c>
      <c r="Y340" s="16">
        <f>AJ74</f>
        <v>20093.385194636976</v>
      </c>
      <c r="Z340" s="176">
        <f t="shared" si="2"/>
        <v>17906.614805363024</v>
      </c>
      <c r="AA340" s="176">
        <f>AJ75</f>
        <v>38000</v>
      </c>
    </row>
    <row r="342" spans="2:27" x14ac:dyDescent="0.45">
      <c r="B342" s="2" t="s">
        <v>344</v>
      </c>
      <c r="T342" s="2" t="s">
        <v>350</v>
      </c>
    </row>
    <row r="343" spans="2:27" x14ac:dyDescent="0.45">
      <c r="B343" s="122" t="s">
        <v>0</v>
      </c>
      <c r="C343" s="244" t="s">
        <v>125</v>
      </c>
      <c r="D343" s="244"/>
      <c r="E343" s="122" t="s">
        <v>34</v>
      </c>
      <c r="F343" s="122" t="s">
        <v>50</v>
      </c>
      <c r="G343" s="123" t="s">
        <v>126</v>
      </c>
      <c r="H343" s="124" t="s">
        <v>119</v>
      </c>
      <c r="I343" s="137" t="s">
        <v>127</v>
      </c>
      <c r="T343" s="122" t="s">
        <v>0</v>
      </c>
      <c r="U343" s="244" t="s">
        <v>125</v>
      </c>
      <c r="V343" s="244"/>
      <c r="W343" s="122" t="s">
        <v>34</v>
      </c>
      <c r="X343" s="122" t="s">
        <v>50</v>
      </c>
      <c r="Y343" s="123" t="s">
        <v>126</v>
      </c>
      <c r="Z343" s="124" t="s">
        <v>119</v>
      </c>
      <c r="AA343" s="137" t="s">
        <v>127</v>
      </c>
    </row>
    <row r="344" spans="2:27" x14ac:dyDescent="0.45">
      <c r="B344" s="19">
        <v>1</v>
      </c>
      <c r="C344" s="242" t="s">
        <v>276</v>
      </c>
      <c r="D344" s="242"/>
      <c r="E344" s="19">
        <v>1</v>
      </c>
      <c r="F344" s="19" t="s">
        <v>118</v>
      </c>
      <c r="G344" s="16">
        <f>F114</f>
        <v>13609.98544483739</v>
      </c>
      <c r="H344" s="176">
        <f>I344-G344</f>
        <v>12390.01455516261</v>
      </c>
      <c r="I344" s="176">
        <f>F115</f>
        <v>26000</v>
      </c>
      <c r="T344" s="19">
        <v>1</v>
      </c>
      <c r="U344" s="242" t="s">
        <v>276</v>
      </c>
      <c r="V344" s="242"/>
      <c r="W344" s="19">
        <v>1</v>
      </c>
      <c r="X344" s="19" t="s">
        <v>118</v>
      </c>
      <c r="Y344" s="16">
        <f>X114</f>
        <v>20331.012079606131</v>
      </c>
      <c r="Z344" s="176">
        <f t="shared" ref="Z344:Z353" si="4">AA344-Y344</f>
        <v>17668.987920393869</v>
      </c>
      <c r="AA344" s="176">
        <f>X115</f>
        <v>38000</v>
      </c>
    </row>
    <row r="345" spans="2:27" x14ac:dyDescent="0.45">
      <c r="B345" s="19">
        <v>2</v>
      </c>
      <c r="C345" s="242" t="s">
        <v>277</v>
      </c>
      <c r="D345" s="242"/>
      <c r="E345" s="19">
        <v>1</v>
      </c>
      <c r="F345" s="19" t="s">
        <v>118</v>
      </c>
      <c r="G345" s="16">
        <f>F127</f>
        <v>13761.335190168458</v>
      </c>
      <c r="H345" s="176">
        <f t="shared" ref="H345:H353" si="5">I345-G345</f>
        <v>12238.664809831542</v>
      </c>
      <c r="I345" s="176">
        <f>F128</f>
        <v>26000</v>
      </c>
      <c r="T345" s="19">
        <v>2</v>
      </c>
      <c r="U345" s="242" t="s">
        <v>277</v>
      </c>
      <c r="V345" s="242"/>
      <c r="W345" s="19">
        <v>1</v>
      </c>
      <c r="X345" s="19" t="s">
        <v>118</v>
      </c>
      <c r="Y345" s="16">
        <f>X127</f>
        <v>20482.361824937201</v>
      </c>
      <c r="Z345" s="176">
        <f t="shared" si="4"/>
        <v>17517.638175062799</v>
      </c>
      <c r="AA345" s="176">
        <f>X128</f>
        <v>38000</v>
      </c>
    </row>
    <row r="346" spans="2:27" x14ac:dyDescent="0.45">
      <c r="B346" s="19">
        <v>3</v>
      </c>
      <c r="C346" s="242" t="s">
        <v>278</v>
      </c>
      <c r="D346" s="242"/>
      <c r="E346" s="19">
        <v>1</v>
      </c>
      <c r="F346" s="19" t="s">
        <v>118</v>
      </c>
      <c r="G346" s="16">
        <f>F140</f>
        <v>13759.089125090655</v>
      </c>
      <c r="H346" s="176">
        <f t="shared" si="5"/>
        <v>12240.910874909345</v>
      </c>
      <c r="I346" s="176">
        <f>F141</f>
        <v>26000</v>
      </c>
      <c r="T346" s="19">
        <v>3</v>
      </c>
      <c r="U346" s="242" t="s">
        <v>278</v>
      </c>
      <c r="V346" s="242"/>
      <c r="W346" s="19">
        <v>1</v>
      </c>
      <c r="X346" s="19" t="s">
        <v>118</v>
      </c>
      <c r="Y346" s="16">
        <f>X140</f>
        <v>20480.115759859396</v>
      </c>
      <c r="Z346" s="176">
        <f t="shared" si="4"/>
        <v>17519.884240140604</v>
      </c>
      <c r="AA346" s="176">
        <f>X141</f>
        <v>38000</v>
      </c>
    </row>
    <row r="347" spans="2:27" x14ac:dyDescent="0.45">
      <c r="B347" s="19">
        <v>4</v>
      </c>
      <c r="C347" s="242" t="s">
        <v>279</v>
      </c>
      <c r="D347" s="242"/>
      <c r="E347" s="19">
        <v>1</v>
      </c>
      <c r="F347" s="19" t="s">
        <v>118</v>
      </c>
      <c r="G347" s="16">
        <f>F153</f>
        <v>13262.391867030055</v>
      </c>
      <c r="H347" s="176">
        <f t="shared" si="5"/>
        <v>12737.608132969945</v>
      </c>
      <c r="I347" s="176">
        <f>F154</f>
        <v>26000</v>
      </c>
      <c r="T347" s="19">
        <v>4</v>
      </c>
      <c r="U347" s="242" t="s">
        <v>279</v>
      </c>
      <c r="V347" s="242"/>
      <c r="W347" s="19">
        <v>1</v>
      </c>
      <c r="X347" s="19" t="s">
        <v>118</v>
      </c>
      <c r="Y347" s="16">
        <f>X153</f>
        <v>19983.418501798798</v>
      </c>
      <c r="Z347" s="176">
        <f t="shared" si="4"/>
        <v>18016.581498201202</v>
      </c>
      <c r="AA347" s="176">
        <f>X154</f>
        <v>38000</v>
      </c>
    </row>
    <row r="348" spans="2:27" x14ac:dyDescent="0.45">
      <c r="B348" s="19">
        <v>5</v>
      </c>
      <c r="C348" s="242" t="s">
        <v>280</v>
      </c>
      <c r="D348" s="242"/>
      <c r="E348" s="19">
        <v>1</v>
      </c>
      <c r="F348" s="19" t="s">
        <v>118</v>
      </c>
      <c r="G348" s="16">
        <f>L114</f>
        <v>13662.376380099809</v>
      </c>
      <c r="H348" s="176">
        <f t="shared" si="5"/>
        <v>12337.623619900191</v>
      </c>
      <c r="I348" s="176">
        <f>F154</f>
        <v>26000</v>
      </c>
      <c r="T348" s="19">
        <v>5</v>
      </c>
      <c r="U348" s="242" t="s">
        <v>280</v>
      </c>
      <c r="V348" s="242"/>
      <c r="W348" s="19">
        <v>1</v>
      </c>
      <c r="X348" s="19" t="s">
        <v>118</v>
      </c>
      <c r="Y348" s="16">
        <f>AD114</f>
        <v>20383.403014868549</v>
      </c>
      <c r="Z348" s="176">
        <f t="shared" si="4"/>
        <v>17616.596985131451</v>
      </c>
      <c r="AA348" s="176">
        <f>AD115</f>
        <v>38000</v>
      </c>
    </row>
    <row r="349" spans="2:27" x14ac:dyDescent="0.45">
      <c r="B349" s="19">
        <v>6</v>
      </c>
      <c r="C349" s="242" t="s">
        <v>281</v>
      </c>
      <c r="D349" s="242"/>
      <c r="E349" s="19">
        <v>1</v>
      </c>
      <c r="F349" s="19" t="s">
        <v>118</v>
      </c>
      <c r="G349" s="16">
        <f>L127</f>
        <v>13660.130315022005</v>
      </c>
      <c r="H349" s="176">
        <f t="shared" si="5"/>
        <v>12339.869684977995</v>
      </c>
      <c r="I349" s="176">
        <f>L115</f>
        <v>26000</v>
      </c>
      <c r="T349" s="19">
        <v>6</v>
      </c>
      <c r="U349" s="242" t="s">
        <v>281</v>
      </c>
      <c r="V349" s="242"/>
      <c r="W349" s="19">
        <v>1</v>
      </c>
      <c r="X349" s="19" t="s">
        <v>118</v>
      </c>
      <c r="Y349" s="16">
        <f>AD127</f>
        <v>20381.156949790744</v>
      </c>
      <c r="Z349" s="176">
        <f t="shared" si="4"/>
        <v>17618.843050209256</v>
      </c>
      <c r="AA349" s="176">
        <f>AD128</f>
        <v>38000</v>
      </c>
    </row>
    <row r="350" spans="2:27" x14ac:dyDescent="0.45">
      <c r="B350" s="19">
        <v>7</v>
      </c>
      <c r="C350" s="242" t="s">
        <v>282</v>
      </c>
      <c r="D350" s="242"/>
      <c r="E350" s="19">
        <v>1</v>
      </c>
      <c r="F350" s="19" t="s">
        <v>118</v>
      </c>
      <c r="G350" s="16">
        <f>L140</f>
        <v>13163.433056961405</v>
      </c>
      <c r="H350" s="176">
        <f t="shared" si="5"/>
        <v>12836.566943038595</v>
      </c>
      <c r="I350" s="176">
        <f>L141</f>
        <v>26000</v>
      </c>
      <c r="T350" s="19">
        <v>7</v>
      </c>
      <c r="U350" s="242" t="s">
        <v>282</v>
      </c>
      <c r="V350" s="242"/>
      <c r="W350" s="19">
        <v>1</v>
      </c>
      <c r="X350" s="19" t="s">
        <v>118</v>
      </c>
      <c r="Y350" s="16">
        <f>AD140</f>
        <v>19884.459691730146</v>
      </c>
      <c r="Z350" s="176">
        <f t="shared" si="4"/>
        <v>18115.540308269854</v>
      </c>
      <c r="AA350" s="176">
        <f>AD141</f>
        <v>38000</v>
      </c>
    </row>
    <row r="351" spans="2:27" x14ac:dyDescent="0.45">
      <c r="B351" s="19">
        <v>8</v>
      </c>
      <c r="C351" s="242" t="s">
        <v>283</v>
      </c>
      <c r="D351" s="242"/>
      <c r="E351" s="19">
        <v>1</v>
      </c>
      <c r="F351" s="19" t="s">
        <v>118</v>
      </c>
      <c r="G351" s="16">
        <f>L153</f>
        <v>13811.480060353075</v>
      </c>
      <c r="H351" s="176">
        <f t="shared" si="5"/>
        <v>12188.519939646925</v>
      </c>
      <c r="I351" s="176">
        <f>L207</f>
        <v>26000</v>
      </c>
      <c r="T351" s="19">
        <v>8</v>
      </c>
      <c r="U351" s="242" t="s">
        <v>283</v>
      </c>
      <c r="V351" s="242"/>
      <c r="W351" s="19">
        <v>1</v>
      </c>
      <c r="X351" s="19" t="s">
        <v>118</v>
      </c>
      <c r="Y351" s="16">
        <f>AD153</f>
        <v>20532.506695121814</v>
      </c>
      <c r="Z351" s="176">
        <f t="shared" si="4"/>
        <v>17467.493304878186</v>
      </c>
      <c r="AA351" s="176">
        <f>AD154</f>
        <v>38000</v>
      </c>
    </row>
    <row r="352" spans="2:27" x14ac:dyDescent="0.45">
      <c r="B352" s="19">
        <v>9</v>
      </c>
      <c r="C352" s="242" t="s">
        <v>284</v>
      </c>
      <c r="D352" s="242"/>
      <c r="E352" s="19">
        <v>1</v>
      </c>
      <c r="F352" s="19" t="s">
        <v>118</v>
      </c>
      <c r="G352" s="16">
        <f>R114</f>
        <v>13312.53673721467</v>
      </c>
      <c r="H352" s="176">
        <f t="shared" si="5"/>
        <v>12687.46326278533</v>
      </c>
      <c r="I352" s="176">
        <f>R115</f>
        <v>26000</v>
      </c>
      <c r="T352" s="19">
        <v>9</v>
      </c>
      <c r="U352" s="242" t="s">
        <v>284</v>
      </c>
      <c r="V352" s="242"/>
      <c r="W352" s="19">
        <v>1</v>
      </c>
      <c r="X352" s="19" t="s">
        <v>118</v>
      </c>
      <c r="Y352" s="16">
        <f>AJ114</f>
        <v>20033.563371983411</v>
      </c>
      <c r="Z352" s="176">
        <f t="shared" si="4"/>
        <v>17966.436628016589</v>
      </c>
      <c r="AA352" s="176">
        <f>AJ115</f>
        <v>38000</v>
      </c>
    </row>
    <row r="353" spans="2:27" x14ac:dyDescent="0.45">
      <c r="B353" s="19">
        <v>10</v>
      </c>
      <c r="C353" s="128" t="s">
        <v>317</v>
      </c>
      <c r="D353" s="128"/>
      <c r="E353" s="19">
        <v>1</v>
      </c>
      <c r="F353" s="19" t="s">
        <v>118</v>
      </c>
      <c r="G353" s="16">
        <f>R127</f>
        <v>13314.782802292475</v>
      </c>
      <c r="H353" s="176">
        <f t="shared" si="5"/>
        <v>12685.217197707525</v>
      </c>
      <c r="I353" s="176">
        <f>R128</f>
        <v>26000</v>
      </c>
      <c r="T353" s="19">
        <v>10</v>
      </c>
      <c r="U353" s="128" t="s">
        <v>317</v>
      </c>
      <c r="V353" s="128"/>
      <c r="W353" s="19">
        <v>1</v>
      </c>
      <c r="X353" s="19" t="s">
        <v>118</v>
      </c>
      <c r="Y353" s="16">
        <f>AJ127</f>
        <v>20035.809437061216</v>
      </c>
      <c r="Z353" s="176">
        <f t="shared" si="4"/>
        <v>17964.190562938784</v>
      </c>
      <c r="AA353" s="176">
        <f>AJ128</f>
        <v>38000</v>
      </c>
    </row>
    <row r="355" spans="2:27" x14ac:dyDescent="0.45">
      <c r="B355" s="2" t="s">
        <v>345</v>
      </c>
      <c r="T355" s="2" t="s">
        <v>351</v>
      </c>
    </row>
    <row r="356" spans="2:27" x14ac:dyDescent="0.45">
      <c r="B356" s="122" t="s">
        <v>0</v>
      </c>
      <c r="C356" s="244" t="s">
        <v>125</v>
      </c>
      <c r="D356" s="244"/>
      <c r="E356" s="122" t="s">
        <v>34</v>
      </c>
      <c r="F356" s="122" t="s">
        <v>50</v>
      </c>
      <c r="G356" s="123" t="s">
        <v>126</v>
      </c>
      <c r="H356" s="124" t="s">
        <v>119</v>
      </c>
      <c r="I356" s="137" t="s">
        <v>127</v>
      </c>
      <c r="T356" s="122" t="s">
        <v>0</v>
      </c>
      <c r="U356" s="244" t="s">
        <v>125</v>
      </c>
      <c r="V356" s="244"/>
      <c r="W356" s="122" t="s">
        <v>34</v>
      </c>
      <c r="X356" s="122" t="s">
        <v>50</v>
      </c>
      <c r="Y356" s="123" t="s">
        <v>126</v>
      </c>
      <c r="Z356" s="124" t="s">
        <v>119</v>
      </c>
      <c r="AA356" s="137" t="s">
        <v>127</v>
      </c>
    </row>
    <row r="357" spans="2:27" x14ac:dyDescent="0.45">
      <c r="B357" s="19">
        <v>1</v>
      </c>
      <c r="C357" s="242" t="s">
        <v>276</v>
      </c>
      <c r="D357" s="242"/>
      <c r="E357" s="19">
        <v>1</v>
      </c>
      <c r="F357" s="19" t="s">
        <v>118</v>
      </c>
      <c r="G357" s="16">
        <f>F167</f>
        <v>13494.833929685876</v>
      </c>
      <c r="H357" s="176">
        <f>I357-G357</f>
        <v>12505.166070314124</v>
      </c>
      <c r="I357" s="176">
        <f>F168</f>
        <v>26000</v>
      </c>
      <c r="T357" s="19">
        <v>1</v>
      </c>
      <c r="U357" s="242" t="s">
        <v>276</v>
      </c>
      <c r="V357" s="242"/>
      <c r="W357" s="19">
        <v>1</v>
      </c>
      <c r="X357" s="19" t="s">
        <v>118</v>
      </c>
      <c r="Y357" s="16">
        <f>X167</f>
        <v>20100.709049303099</v>
      </c>
      <c r="Z357" s="176">
        <f>AA357-Y357</f>
        <v>17899.290950696901</v>
      </c>
      <c r="AA357" s="176">
        <f>X168</f>
        <v>38000</v>
      </c>
    </row>
    <row r="358" spans="2:27" x14ac:dyDescent="0.45">
      <c r="B358" s="19">
        <v>2</v>
      </c>
      <c r="C358" s="242" t="s">
        <v>277</v>
      </c>
      <c r="D358" s="242"/>
      <c r="E358" s="19">
        <v>1</v>
      </c>
      <c r="F358" s="19" t="s">
        <v>118</v>
      </c>
      <c r="G358" s="16">
        <f>F180</f>
        <v>13646.183675016946</v>
      </c>
      <c r="H358" s="176">
        <f t="shared" ref="H358:H366" si="6">I358-G358</f>
        <v>12353.816324983054</v>
      </c>
      <c r="I358" s="176">
        <f>F181</f>
        <v>26000</v>
      </c>
      <c r="T358" s="19">
        <v>2</v>
      </c>
      <c r="U358" s="242" t="s">
        <v>277</v>
      </c>
      <c r="V358" s="242"/>
      <c r="W358" s="19">
        <v>1</v>
      </c>
      <c r="X358" s="19" t="s">
        <v>118</v>
      </c>
      <c r="Y358" s="16">
        <f>X180</f>
        <v>20252.058794634169</v>
      </c>
      <c r="Z358" s="176">
        <f t="shared" ref="Z358:Z366" si="7">AA358-Y358</f>
        <v>17747.941205365831</v>
      </c>
      <c r="AA358" s="176">
        <f>X181</f>
        <v>38000</v>
      </c>
    </row>
    <row r="359" spans="2:27" x14ac:dyDescent="0.45">
      <c r="B359" s="19">
        <v>3</v>
      </c>
      <c r="C359" s="242" t="s">
        <v>278</v>
      </c>
      <c r="D359" s="242"/>
      <c r="E359" s="19">
        <v>1</v>
      </c>
      <c r="F359" s="19" t="s">
        <v>118</v>
      </c>
      <c r="G359" s="16">
        <f>F193</f>
        <v>13643.937609939141</v>
      </c>
      <c r="H359" s="176">
        <f t="shared" si="6"/>
        <v>12356.062390060859</v>
      </c>
      <c r="I359" s="176">
        <f>F194</f>
        <v>26000</v>
      </c>
      <c r="T359" s="19">
        <v>3</v>
      </c>
      <c r="U359" s="242" t="s">
        <v>278</v>
      </c>
      <c r="V359" s="242"/>
      <c r="W359" s="19">
        <v>1</v>
      </c>
      <c r="X359" s="19" t="s">
        <v>118</v>
      </c>
      <c r="Y359" s="16">
        <f>X193</f>
        <v>20249.812729556365</v>
      </c>
      <c r="Z359" s="176">
        <f t="shared" si="7"/>
        <v>17750.187270443635</v>
      </c>
      <c r="AA359" s="176">
        <f>X194</f>
        <v>38000</v>
      </c>
    </row>
    <row r="360" spans="2:27" x14ac:dyDescent="0.45">
      <c r="B360" s="19">
        <v>4</v>
      </c>
      <c r="C360" s="242" t="s">
        <v>279</v>
      </c>
      <c r="D360" s="242"/>
      <c r="E360" s="19">
        <v>1</v>
      </c>
      <c r="F360" s="19" t="s">
        <v>118</v>
      </c>
      <c r="G360" s="16">
        <f>F206</f>
        <v>13147.240351878541</v>
      </c>
      <c r="H360" s="176">
        <f t="shared" si="6"/>
        <v>12852.759648121459</v>
      </c>
      <c r="I360" s="176">
        <f>F207</f>
        <v>26000</v>
      </c>
      <c r="T360" s="19">
        <v>4</v>
      </c>
      <c r="U360" s="242" t="s">
        <v>279</v>
      </c>
      <c r="V360" s="242"/>
      <c r="W360" s="19">
        <v>1</v>
      </c>
      <c r="X360" s="19" t="s">
        <v>118</v>
      </c>
      <c r="Y360" s="16">
        <f>X206</f>
        <v>19753.115471495767</v>
      </c>
      <c r="Z360" s="176">
        <f t="shared" si="7"/>
        <v>18246.884528504233</v>
      </c>
      <c r="AA360" s="176">
        <f>X207</f>
        <v>38000</v>
      </c>
    </row>
    <row r="361" spans="2:27" x14ac:dyDescent="0.45">
      <c r="B361" s="19">
        <v>5</v>
      </c>
      <c r="C361" s="242" t="s">
        <v>280</v>
      </c>
      <c r="D361" s="242"/>
      <c r="E361" s="19">
        <v>1</v>
      </c>
      <c r="F361" s="19" t="s">
        <v>118</v>
      </c>
      <c r="G361" s="16">
        <f>L167</f>
        <v>13547.224864948294</v>
      </c>
      <c r="H361" s="176">
        <f t="shared" si="6"/>
        <v>12452.775135051706</v>
      </c>
      <c r="I361" s="176">
        <f>L168</f>
        <v>26000</v>
      </c>
      <c r="T361" s="19">
        <v>5</v>
      </c>
      <c r="U361" s="242" t="s">
        <v>280</v>
      </c>
      <c r="V361" s="242"/>
      <c r="W361" s="19">
        <v>1</v>
      </c>
      <c r="X361" s="19" t="s">
        <v>118</v>
      </c>
      <c r="Y361" s="16">
        <f>AD167</f>
        <v>20153.099984565521</v>
      </c>
      <c r="Z361" s="176">
        <f t="shared" si="7"/>
        <v>17846.900015434479</v>
      </c>
      <c r="AA361" s="176">
        <f>AD168</f>
        <v>38000</v>
      </c>
    </row>
    <row r="362" spans="2:27" x14ac:dyDescent="0.45">
      <c r="B362" s="19">
        <v>6</v>
      </c>
      <c r="C362" s="242" t="s">
        <v>281</v>
      </c>
      <c r="D362" s="242"/>
      <c r="E362" s="19">
        <v>1</v>
      </c>
      <c r="F362" s="19" t="s">
        <v>118</v>
      </c>
      <c r="G362" s="16">
        <f>L180</f>
        <v>13544.978799870491</v>
      </c>
      <c r="H362" s="176">
        <f t="shared" si="6"/>
        <v>12455.021200129509</v>
      </c>
      <c r="I362" s="176">
        <f>L181</f>
        <v>26000</v>
      </c>
      <c r="T362" s="19">
        <v>6</v>
      </c>
      <c r="U362" s="242" t="s">
        <v>281</v>
      </c>
      <c r="V362" s="242"/>
      <c r="W362" s="19">
        <v>1</v>
      </c>
      <c r="X362" s="19" t="s">
        <v>118</v>
      </c>
      <c r="Y362" s="16">
        <f>AD180</f>
        <v>20150.853919487716</v>
      </c>
      <c r="Z362" s="176">
        <f t="shared" si="7"/>
        <v>17849.146080512284</v>
      </c>
      <c r="AA362" s="176">
        <f>AD181</f>
        <v>38000</v>
      </c>
    </row>
    <row r="363" spans="2:27" x14ac:dyDescent="0.45">
      <c r="B363" s="19">
        <v>7</v>
      </c>
      <c r="C363" s="242" t="s">
        <v>282</v>
      </c>
      <c r="D363" s="242"/>
      <c r="E363" s="19">
        <v>1</v>
      </c>
      <c r="F363" s="19" t="s">
        <v>118</v>
      </c>
      <c r="G363" s="16">
        <f>L193</f>
        <v>13048.281541809891</v>
      </c>
      <c r="H363" s="176">
        <f t="shared" si="6"/>
        <v>12951.718458190109</v>
      </c>
      <c r="I363" s="176">
        <f>L194</f>
        <v>26000</v>
      </c>
      <c r="T363" s="19">
        <v>7</v>
      </c>
      <c r="U363" s="242" t="s">
        <v>282</v>
      </c>
      <c r="V363" s="242"/>
      <c r="W363" s="19">
        <v>1</v>
      </c>
      <c r="X363" s="19" t="s">
        <v>118</v>
      </c>
      <c r="Y363" s="16">
        <f>AD193</f>
        <v>19654.156661427118</v>
      </c>
      <c r="Z363" s="176">
        <f t="shared" si="7"/>
        <v>18345.843338572882</v>
      </c>
      <c r="AA363" s="176">
        <f>AD194</f>
        <v>38000</v>
      </c>
    </row>
    <row r="364" spans="2:27" x14ac:dyDescent="0.45">
      <c r="B364" s="19">
        <v>8</v>
      </c>
      <c r="C364" s="242" t="s">
        <v>283</v>
      </c>
      <c r="D364" s="242"/>
      <c r="E364" s="19">
        <v>1</v>
      </c>
      <c r="F364" s="19" t="s">
        <v>118</v>
      </c>
      <c r="G364" s="16">
        <f>L206</f>
        <v>13696.328545201559</v>
      </c>
      <c r="H364" s="176">
        <f t="shared" si="6"/>
        <v>12303.671454798441</v>
      </c>
      <c r="I364" s="176">
        <f>L207</f>
        <v>26000</v>
      </c>
      <c r="T364" s="19">
        <v>8</v>
      </c>
      <c r="U364" s="242" t="s">
        <v>283</v>
      </c>
      <c r="V364" s="242"/>
      <c r="W364" s="19">
        <v>1</v>
      </c>
      <c r="X364" s="19" t="s">
        <v>118</v>
      </c>
      <c r="Y364" s="16">
        <f>AD206</f>
        <v>20302.203664818786</v>
      </c>
      <c r="Z364" s="176">
        <f t="shared" si="7"/>
        <v>17697.796335181214</v>
      </c>
      <c r="AA364" s="176">
        <f>AD207</f>
        <v>38000</v>
      </c>
    </row>
    <row r="365" spans="2:27" x14ac:dyDescent="0.45">
      <c r="B365" s="19">
        <v>9</v>
      </c>
      <c r="C365" s="242" t="s">
        <v>284</v>
      </c>
      <c r="D365" s="242"/>
      <c r="E365" s="19">
        <v>1</v>
      </c>
      <c r="F365" s="19" t="s">
        <v>118</v>
      </c>
      <c r="G365" s="16">
        <f>R167</f>
        <v>13197.385222063156</v>
      </c>
      <c r="H365" s="176">
        <f t="shared" si="6"/>
        <v>12802.614777936844</v>
      </c>
      <c r="I365" s="176">
        <f>R168</f>
        <v>26000</v>
      </c>
      <c r="T365" s="19">
        <v>9</v>
      </c>
      <c r="U365" s="242" t="s">
        <v>284</v>
      </c>
      <c r="V365" s="242"/>
      <c r="W365" s="19">
        <v>1</v>
      </c>
      <c r="X365" s="19" t="s">
        <v>118</v>
      </c>
      <c r="Y365" s="16">
        <f>AJ167</f>
        <v>19803.260341680383</v>
      </c>
      <c r="Z365" s="176">
        <f t="shared" si="7"/>
        <v>18196.739658319617</v>
      </c>
      <c r="AA365" s="176">
        <f>AJ168</f>
        <v>38000</v>
      </c>
    </row>
    <row r="366" spans="2:27" x14ac:dyDescent="0.45">
      <c r="B366" s="19">
        <v>10</v>
      </c>
      <c r="C366" s="128" t="s">
        <v>317</v>
      </c>
      <c r="D366" s="128"/>
      <c r="E366" s="19">
        <v>1</v>
      </c>
      <c r="F366" s="19" t="s">
        <v>118</v>
      </c>
      <c r="G366" s="16">
        <f>R180</f>
        <v>13199.631287140959</v>
      </c>
      <c r="H366" s="176">
        <f t="shared" si="6"/>
        <v>12800.368712859041</v>
      </c>
      <c r="I366" s="176">
        <f>R181</f>
        <v>26000</v>
      </c>
      <c r="T366" s="19">
        <v>10</v>
      </c>
      <c r="U366" s="128" t="s">
        <v>317</v>
      </c>
      <c r="V366" s="128"/>
      <c r="W366" s="19">
        <v>1</v>
      </c>
      <c r="X366" s="19" t="s">
        <v>118</v>
      </c>
      <c r="Y366" s="16">
        <f>AJ180</f>
        <v>19805.506406758188</v>
      </c>
      <c r="Z366" s="176">
        <f t="shared" si="7"/>
        <v>18194.493593241812</v>
      </c>
      <c r="AA366" s="176">
        <f>AJ181</f>
        <v>38000</v>
      </c>
    </row>
    <row r="368" spans="2:27" x14ac:dyDescent="0.45">
      <c r="B368" s="2" t="s">
        <v>346</v>
      </c>
      <c r="T368" s="2" t="s">
        <v>352</v>
      </c>
    </row>
    <row r="369" spans="2:27" x14ac:dyDescent="0.45">
      <c r="B369" s="122" t="s">
        <v>0</v>
      </c>
      <c r="C369" s="244" t="s">
        <v>125</v>
      </c>
      <c r="D369" s="244"/>
      <c r="E369" s="122" t="s">
        <v>34</v>
      </c>
      <c r="F369" s="122" t="s">
        <v>50</v>
      </c>
      <c r="G369" s="123" t="s">
        <v>126</v>
      </c>
      <c r="H369" s="124" t="s">
        <v>119</v>
      </c>
      <c r="I369" s="137" t="s">
        <v>127</v>
      </c>
      <c r="T369" s="122" t="s">
        <v>0</v>
      </c>
      <c r="U369" s="244" t="s">
        <v>125</v>
      </c>
      <c r="V369" s="244"/>
      <c r="W369" s="122" t="s">
        <v>34</v>
      </c>
      <c r="X369" s="122" t="s">
        <v>50</v>
      </c>
      <c r="Y369" s="123" t="s">
        <v>126</v>
      </c>
      <c r="Z369" s="124" t="s">
        <v>119</v>
      </c>
      <c r="AA369" s="137" t="s">
        <v>127</v>
      </c>
    </row>
    <row r="370" spans="2:27" x14ac:dyDescent="0.45">
      <c r="B370" s="19">
        <v>1</v>
      </c>
      <c r="C370" s="242" t="s">
        <v>276</v>
      </c>
      <c r="D370" s="242"/>
      <c r="E370" s="19">
        <v>1</v>
      </c>
      <c r="F370" s="19" t="s">
        <v>118</v>
      </c>
      <c r="G370" s="16">
        <f>F220</f>
        <v>13552.409687261632</v>
      </c>
      <c r="H370" s="176">
        <f>I370-G370</f>
        <v>12447.590312738368</v>
      </c>
      <c r="I370" s="176">
        <f>F221</f>
        <v>26000</v>
      </c>
      <c r="T370" s="19">
        <v>1</v>
      </c>
      <c r="U370" s="242" t="s">
        <v>276</v>
      </c>
      <c r="V370" s="242"/>
      <c r="W370" s="19">
        <v>1</v>
      </c>
      <c r="X370" s="19" t="s">
        <v>118</v>
      </c>
      <c r="Y370" s="16">
        <f>X220</f>
        <v>20215.860564454615</v>
      </c>
      <c r="Z370" s="176">
        <f t="shared" ref="Z370:Z379" si="8">AA370-Y370</f>
        <v>17784.139435545385</v>
      </c>
      <c r="AA370" s="176">
        <f>X221</f>
        <v>38000</v>
      </c>
    </row>
    <row r="371" spans="2:27" x14ac:dyDescent="0.45">
      <c r="B371" s="19">
        <v>2</v>
      </c>
      <c r="C371" s="242" t="s">
        <v>277</v>
      </c>
      <c r="D371" s="242"/>
      <c r="E371" s="19">
        <v>1</v>
      </c>
      <c r="F371" s="19" t="s">
        <v>118</v>
      </c>
      <c r="G371" s="16">
        <f>F233</f>
        <v>13703.759432592702</v>
      </c>
      <c r="H371" s="176">
        <f t="shared" ref="H371:H379" si="9">I371-G371</f>
        <v>12296.240567407298</v>
      </c>
      <c r="I371" s="176">
        <f>F234</f>
        <v>26000</v>
      </c>
      <c r="T371" s="19">
        <v>2</v>
      </c>
      <c r="U371" s="242" t="s">
        <v>277</v>
      </c>
      <c r="V371" s="242"/>
      <c r="W371" s="19">
        <v>1</v>
      </c>
      <c r="X371" s="19" t="s">
        <v>118</v>
      </c>
      <c r="Y371" s="16">
        <f>X233</f>
        <v>20367.210309785685</v>
      </c>
      <c r="Z371" s="176">
        <f t="shared" si="8"/>
        <v>17632.789690214315</v>
      </c>
      <c r="AA371" s="176">
        <f>X234</f>
        <v>38000</v>
      </c>
    </row>
    <row r="372" spans="2:27" x14ac:dyDescent="0.45">
      <c r="B372" s="19">
        <v>3</v>
      </c>
      <c r="C372" s="242" t="s">
        <v>278</v>
      </c>
      <c r="D372" s="242"/>
      <c r="E372" s="19">
        <v>1</v>
      </c>
      <c r="F372" s="19" t="s">
        <v>118</v>
      </c>
      <c r="G372" s="16">
        <f>F246</f>
        <v>13701.513367514897</v>
      </c>
      <c r="H372" s="176">
        <f t="shared" si="9"/>
        <v>12298.486632485103</v>
      </c>
      <c r="I372" s="176">
        <f>F247</f>
        <v>26000</v>
      </c>
      <c r="T372" s="19">
        <v>3</v>
      </c>
      <c r="U372" s="242" t="s">
        <v>278</v>
      </c>
      <c r="V372" s="242"/>
      <c r="W372" s="19">
        <v>1</v>
      </c>
      <c r="X372" s="19" t="s">
        <v>118</v>
      </c>
      <c r="Y372" s="16">
        <f>X246</f>
        <v>20364.96424470788</v>
      </c>
      <c r="Z372" s="176">
        <f t="shared" si="8"/>
        <v>17635.03575529212</v>
      </c>
      <c r="AA372" s="176">
        <f>X247</f>
        <v>38000</v>
      </c>
    </row>
    <row r="373" spans="2:27" x14ac:dyDescent="0.45">
      <c r="B373" s="19">
        <v>4</v>
      </c>
      <c r="C373" s="242" t="s">
        <v>279</v>
      </c>
      <c r="D373" s="242"/>
      <c r="E373" s="19">
        <v>1</v>
      </c>
      <c r="F373" s="19" t="s">
        <v>118</v>
      </c>
      <c r="G373" s="16">
        <f>F259</f>
        <v>13204.816109454297</v>
      </c>
      <c r="H373" s="176">
        <f t="shared" si="9"/>
        <v>12795.183890545703</v>
      </c>
      <c r="I373" s="176">
        <f>F260</f>
        <v>26000</v>
      </c>
      <c r="T373" s="19">
        <v>4</v>
      </c>
      <c r="U373" s="242" t="s">
        <v>279</v>
      </c>
      <c r="V373" s="242"/>
      <c r="W373" s="19">
        <v>1</v>
      </c>
      <c r="X373" s="19" t="s">
        <v>118</v>
      </c>
      <c r="Y373" s="16">
        <f>X259</f>
        <v>19868.266986647282</v>
      </c>
      <c r="Z373" s="176">
        <f t="shared" si="8"/>
        <v>18131.733013352718</v>
      </c>
      <c r="AA373" s="176">
        <f>X260</f>
        <v>38000</v>
      </c>
    </row>
    <row r="374" spans="2:27" x14ac:dyDescent="0.45">
      <c r="B374" s="19">
        <v>5</v>
      </c>
      <c r="C374" s="242" t="s">
        <v>280</v>
      </c>
      <c r="D374" s="242"/>
      <c r="E374" s="19">
        <v>1</v>
      </c>
      <c r="F374" s="19" t="s">
        <v>118</v>
      </c>
      <c r="G374" s="16">
        <f>L220</f>
        <v>13604.800622524053</v>
      </c>
      <c r="H374" s="176">
        <f t="shared" si="9"/>
        <v>12395.199377475947</v>
      </c>
      <c r="I374" s="176">
        <f>L221</f>
        <v>26000</v>
      </c>
      <c r="T374" s="19">
        <v>5</v>
      </c>
      <c r="U374" s="242" t="s">
        <v>280</v>
      </c>
      <c r="V374" s="242"/>
      <c r="W374" s="19">
        <v>1</v>
      </c>
      <c r="X374" s="19" t="s">
        <v>118</v>
      </c>
      <c r="Y374" s="16">
        <f>AD220</f>
        <v>20268.251499717036</v>
      </c>
      <c r="Z374" s="176">
        <f t="shared" si="8"/>
        <v>17731.748500282964</v>
      </c>
      <c r="AA374" s="176">
        <f>AD221</f>
        <v>38000</v>
      </c>
    </row>
    <row r="375" spans="2:27" x14ac:dyDescent="0.45">
      <c r="B375" s="19">
        <v>6</v>
      </c>
      <c r="C375" s="242" t="s">
        <v>281</v>
      </c>
      <c r="D375" s="242"/>
      <c r="E375" s="19">
        <v>1</v>
      </c>
      <c r="F375" s="19" t="s">
        <v>118</v>
      </c>
      <c r="G375" s="16">
        <f>L233</f>
        <v>13602.554557446249</v>
      </c>
      <c r="H375" s="176">
        <f t="shared" si="9"/>
        <v>12397.445442553751</v>
      </c>
      <c r="I375" s="176">
        <f>L234</f>
        <v>26000</v>
      </c>
      <c r="T375" s="19">
        <v>6</v>
      </c>
      <c r="U375" s="242" t="s">
        <v>281</v>
      </c>
      <c r="V375" s="242"/>
      <c r="W375" s="19">
        <v>1</v>
      </c>
      <c r="X375" s="19" t="s">
        <v>118</v>
      </c>
      <c r="Y375" s="16">
        <f>AD233</f>
        <v>20266.005434639232</v>
      </c>
      <c r="Z375" s="176">
        <f t="shared" si="8"/>
        <v>17733.994565360768</v>
      </c>
      <c r="AA375" s="176">
        <f>AD234</f>
        <v>38000</v>
      </c>
    </row>
    <row r="376" spans="2:27" x14ac:dyDescent="0.45">
      <c r="B376" s="19">
        <v>7</v>
      </c>
      <c r="C376" s="242" t="s">
        <v>282</v>
      </c>
      <c r="D376" s="242"/>
      <c r="E376" s="19">
        <v>1</v>
      </c>
      <c r="F376" s="19" t="s">
        <v>118</v>
      </c>
      <c r="G376" s="16">
        <f>L246</f>
        <v>13105.857299385649</v>
      </c>
      <c r="H376" s="176">
        <f t="shared" si="9"/>
        <v>12894.142700614351</v>
      </c>
      <c r="I376" s="176">
        <f>L247</f>
        <v>26000</v>
      </c>
      <c r="T376" s="19">
        <v>7</v>
      </c>
      <c r="U376" s="242" t="s">
        <v>282</v>
      </c>
      <c r="V376" s="242"/>
      <c r="W376" s="19">
        <v>1</v>
      </c>
      <c r="X376" s="19" t="s">
        <v>118</v>
      </c>
      <c r="Y376" s="16">
        <f>AD246</f>
        <v>19769.308176578634</v>
      </c>
      <c r="Z376" s="176">
        <f t="shared" si="8"/>
        <v>18230.691823421366</v>
      </c>
      <c r="AA376" s="176">
        <f>AD247</f>
        <v>38000</v>
      </c>
    </row>
    <row r="377" spans="2:27" x14ac:dyDescent="0.45">
      <c r="B377" s="19">
        <v>8</v>
      </c>
      <c r="C377" s="242" t="s">
        <v>283</v>
      </c>
      <c r="D377" s="242"/>
      <c r="E377" s="19">
        <v>1</v>
      </c>
      <c r="F377" s="19" t="s">
        <v>118</v>
      </c>
      <c r="G377" s="16">
        <f>L259</f>
        <v>13753.904302777319</v>
      </c>
      <c r="H377" s="176">
        <f t="shared" si="9"/>
        <v>12246.095697222681</v>
      </c>
      <c r="I377" s="176">
        <f>L260</f>
        <v>26000</v>
      </c>
      <c r="T377" s="19">
        <v>8</v>
      </c>
      <c r="U377" s="242" t="s">
        <v>283</v>
      </c>
      <c r="V377" s="242"/>
      <c r="W377" s="19">
        <v>1</v>
      </c>
      <c r="X377" s="19" t="s">
        <v>118</v>
      </c>
      <c r="Y377" s="16">
        <f>AD259</f>
        <v>20417.355179970302</v>
      </c>
      <c r="Z377" s="176">
        <f t="shared" si="8"/>
        <v>17582.644820029698</v>
      </c>
      <c r="AA377" s="176">
        <f>AD260</f>
        <v>38000</v>
      </c>
    </row>
    <row r="378" spans="2:27" x14ac:dyDescent="0.45">
      <c r="B378" s="19">
        <v>9</v>
      </c>
      <c r="C378" s="242" t="s">
        <v>284</v>
      </c>
      <c r="D378" s="242"/>
      <c r="E378" s="19">
        <v>1</v>
      </c>
      <c r="F378" s="19" t="s">
        <v>118</v>
      </c>
      <c r="G378" s="16">
        <f>R220</f>
        <v>13254.960979638914</v>
      </c>
      <c r="H378" s="176">
        <f t="shared" si="9"/>
        <v>12745.039020361086</v>
      </c>
      <c r="I378" s="176">
        <f>R221</f>
        <v>26000</v>
      </c>
      <c r="T378" s="19">
        <v>9</v>
      </c>
      <c r="U378" s="242" t="s">
        <v>284</v>
      </c>
      <c r="V378" s="242"/>
      <c r="W378" s="19">
        <v>1</v>
      </c>
      <c r="X378" s="19" t="s">
        <v>118</v>
      </c>
      <c r="Y378" s="16">
        <f>AJ220</f>
        <v>19918.411856831899</v>
      </c>
      <c r="Z378" s="176">
        <f t="shared" si="8"/>
        <v>18081.588143168101</v>
      </c>
      <c r="AA378" s="176">
        <f>AJ221</f>
        <v>38000</v>
      </c>
    </row>
    <row r="379" spans="2:27" x14ac:dyDescent="0.45">
      <c r="B379" s="19">
        <v>10</v>
      </c>
      <c r="C379" s="128" t="s">
        <v>317</v>
      </c>
      <c r="D379" s="128"/>
      <c r="E379" s="19">
        <v>1</v>
      </c>
      <c r="F379" s="19" t="s">
        <v>118</v>
      </c>
      <c r="G379" s="16">
        <f>R233</f>
        <v>13257.207044716719</v>
      </c>
      <c r="H379" s="176">
        <f t="shared" si="9"/>
        <v>12742.792955283281</v>
      </c>
      <c r="I379" s="176">
        <f>R234</f>
        <v>26000</v>
      </c>
      <c r="T379" s="19">
        <v>10</v>
      </c>
      <c r="U379" s="128" t="s">
        <v>317</v>
      </c>
      <c r="V379" s="128"/>
      <c r="W379" s="19">
        <v>1</v>
      </c>
      <c r="X379" s="19" t="s">
        <v>118</v>
      </c>
      <c r="Y379" s="16">
        <f>AJ233</f>
        <v>19920.657921909704</v>
      </c>
      <c r="Z379" s="176">
        <f t="shared" si="8"/>
        <v>18079.342078090296</v>
      </c>
      <c r="AA379" s="176">
        <f>AJ234</f>
        <v>38000</v>
      </c>
    </row>
    <row r="381" spans="2:27" x14ac:dyDescent="0.45">
      <c r="B381" s="2" t="s">
        <v>347</v>
      </c>
      <c r="T381" s="2" t="s">
        <v>353</v>
      </c>
    </row>
    <row r="382" spans="2:27" x14ac:dyDescent="0.45">
      <c r="B382" s="122" t="s">
        <v>0</v>
      </c>
      <c r="C382" s="244" t="s">
        <v>125</v>
      </c>
      <c r="D382" s="244"/>
      <c r="E382" s="122" t="s">
        <v>34</v>
      </c>
      <c r="F382" s="122" t="s">
        <v>50</v>
      </c>
      <c r="G382" s="123" t="s">
        <v>126</v>
      </c>
      <c r="H382" s="124" t="s">
        <v>119</v>
      </c>
      <c r="I382" s="137" t="s">
        <v>127</v>
      </c>
      <c r="T382" s="122" t="s">
        <v>0</v>
      </c>
      <c r="U382" s="244" t="s">
        <v>125</v>
      </c>
      <c r="V382" s="244"/>
      <c r="W382" s="122" t="s">
        <v>34</v>
      </c>
      <c r="X382" s="122" t="s">
        <v>50</v>
      </c>
      <c r="Y382" s="123" t="s">
        <v>126</v>
      </c>
      <c r="Z382" s="124" t="s">
        <v>119</v>
      </c>
      <c r="AA382" s="137" t="s">
        <v>127</v>
      </c>
    </row>
    <row r="383" spans="2:27" x14ac:dyDescent="0.45">
      <c r="B383" s="19">
        <v>1</v>
      </c>
      <c r="C383" s="242" t="s">
        <v>276</v>
      </c>
      <c r="D383" s="242"/>
      <c r="E383" s="19">
        <v>1</v>
      </c>
      <c r="F383" s="19" t="s">
        <v>118</v>
      </c>
      <c r="G383" s="16">
        <f>F273</f>
        <v>13567.321967963388</v>
      </c>
      <c r="H383" s="176">
        <f t="shared" ref="H383:H392" si="10">I383-G383</f>
        <v>12432.678032036612</v>
      </c>
      <c r="I383" s="176">
        <f>F274</f>
        <v>26000</v>
      </c>
      <c r="T383" s="19">
        <v>1</v>
      </c>
      <c r="U383" s="242" t="s">
        <v>276</v>
      </c>
      <c r="V383" s="242"/>
      <c r="W383" s="19">
        <v>1</v>
      </c>
      <c r="X383" s="19" t="s">
        <v>118</v>
      </c>
      <c r="Y383" s="16">
        <f>X273</f>
        <v>20245.685125858123</v>
      </c>
      <c r="Z383" s="176">
        <f t="shared" ref="Z383:Z392" si="11">AA383-Y383</f>
        <v>17754.314874141877</v>
      </c>
      <c r="AA383" s="176">
        <f>X274</f>
        <v>38000</v>
      </c>
    </row>
    <row r="384" spans="2:27" x14ac:dyDescent="0.45">
      <c r="B384" s="19">
        <v>2</v>
      </c>
      <c r="C384" s="242" t="s">
        <v>277</v>
      </c>
      <c r="D384" s="242"/>
      <c r="E384" s="19">
        <v>1</v>
      </c>
      <c r="F384" s="19" t="s">
        <v>118</v>
      </c>
      <c r="G384" s="16">
        <f>F286</f>
        <v>13718.671713294458</v>
      </c>
      <c r="H384" s="176">
        <f t="shared" si="10"/>
        <v>12281.328286705542</v>
      </c>
      <c r="I384" s="176">
        <f>F287</f>
        <v>26000</v>
      </c>
      <c r="T384" s="19">
        <v>2</v>
      </c>
      <c r="U384" s="242" t="s">
        <v>277</v>
      </c>
      <c r="V384" s="242"/>
      <c r="W384" s="19">
        <v>1</v>
      </c>
      <c r="X384" s="19" t="s">
        <v>118</v>
      </c>
      <c r="Y384" s="16">
        <f>X286</f>
        <v>20397.034871189193</v>
      </c>
      <c r="Z384" s="176">
        <f t="shared" si="11"/>
        <v>17602.965128810807</v>
      </c>
      <c r="AA384" s="176">
        <f>X287</f>
        <v>38000</v>
      </c>
    </row>
    <row r="385" spans="2:27" x14ac:dyDescent="0.45">
      <c r="B385" s="19">
        <v>3</v>
      </c>
      <c r="C385" s="242" t="s">
        <v>278</v>
      </c>
      <c r="D385" s="242"/>
      <c r="E385" s="19">
        <v>1</v>
      </c>
      <c r="F385" s="19" t="s">
        <v>118</v>
      </c>
      <c r="G385" s="16">
        <f>F299</f>
        <v>13716.425648216653</v>
      </c>
      <c r="H385" s="176">
        <f t="shared" si="10"/>
        <v>12283.574351783347</v>
      </c>
      <c r="I385" s="176">
        <f>F300</f>
        <v>26000</v>
      </c>
      <c r="T385" s="19">
        <v>3</v>
      </c>
      <c r="U385" s="242" t="s">
        <v>278</v>
      </c>
      <c r="V385" s="242"/>
      <c r="W385" s="19">
        <v>1</v>
      </c>
      <c r="X385" s="19" t="s">
        <v>118</v>
      </c>
      <c r="Y385" s="16">
        <f>X299</f>
        <v>20394.788806111388</v>
      </c>
      <c r="Z385" s="176">
        <f t="shared" si="11"/>
        <v>17605.211193888612</v>
      </c>
      <c r="AA385" s="176">
        <f>X300</f>
        <v>38000</v>
      </c>
    </row>
    <row r="386" spans="2:27" x14ac:dyDescent="0.45">
      <c r="B386" s="19">
        <v>4</v>
      </c>
      <c r="C386" s="242" t="s">
        <v>279</v>
      </c>
      <c r="D386" s="242"/>
      <c r="E386" s="19">
        <v>1</v>
      </c>
      <c r="F386" s="19" t="s">
        <v>118</v>
      </c>
      <c r="G386" s="16">
        <f>F312</f>
        <v>13219.728390156053</v>
      </c>
      <c r="H386" s="176">
        <f t="shared" si="10"/>
        <v>12780.271609843947</v>
      </c>
      <c r="I386" s="176">
        <f>F313</f>
        <v>26000</v>
      </c>
      <c r="T386" s="19">
        <v>4</v>
      </c>
      <c r="U386" s="242" t="s">
        <v>279</v>
      </c>
      <c r="V386" s="242"/>
      <c r="W386" s="19">
        <v>1</v>
      </c>
      <c r="X386" s="19" t="s">
        <v>118</v>
      </c>
      <c r="Y386" s="16">
        <f>X312</f>
        <v>19898.09154805079</v>
      </c>
      <c r="Z386" s="176">
        <f t="shared" si="11"/>
        <v>18101.90845194921</v>
      </c>
      <c r="AA386" s="176">
        <f>X313</f>
        <v>38000</v>
      </c>
    </row>
    <row r="387" spans="2:27" x14ac:dyDescent="0.45">
      <c r="B387" s="19">
        <v>5</v>
      </c>
      <c r="C387" s="242" t="s">
        <v>280</v>
      </c>
      <c r="D387" s="242"/>
      <c r="E387" s="19">
        <v>1</v>
      </c>
      <c r="F387" s="19" t="s">
        <v>118</v>
      </c>
      <c r="G387" s="16">
        <f>L273</f>
        <v>13619.712903225805</v>
      </c>
      <c r="H387" s="176">
        <f t="shared" si="10"/>
        <v>12380.287096774195</v>
      </c>
      <c r="I387" s="176">
        <f>L274</f>
        <v>26000</v>
      </c>
      <c r="T387" s="19">
        <v>5</v>
      </c>
      <c r="U387" s="242" t="s">
        <v>280</v>
      </c>
      <c r="V387" s="242"/>
      <c r="W387" s="19">
        <v>1</v>
      </c>
      <c r="X387" s="19" t="s">
        <v>118</v>
      </c>
      <c r="Y387" s="16">
        <f>AD273</f>
        <v>20298.076061120544</v>
      </c>
      <c r="Z387" s="176">
        <f t="shared" si="11"/>
        <v>17701.923938879456</v>
      </c>
      <c r="AA387" s="176">
        <f>AD274</f>
        <v>38000</v>
      </c>
    </row>
    <row r="388" spans="2:27" x14ac:dyDescent="0.45">
      <c r="B388" s="19">
        <v>6</v>
      </c>
      <c r="C388" s="242" t="s">
        <v>281</v>
      </c>
      <c r="D388" s="242"/>
      <c r="E388" s="19">
        <v>1</v>
      </c>
      <c r="F388" s="19" t="s">
        <v>118</v>
      </c>
      <c r="G388" s="16">
        <f>L286</f>
        <v>13617.466838148002</v>
      </c>
      <c r="H388" s="176">
        <f t="shared" si="10"/>
        <v>12382.533161851998</v>
      </c>
      <c r="I388" s="176">
        <f>L287</f>
        <v>26000</v>
      </c>
      <c r="T388" s="19">
        <v>6</v>
      </c>
      <c r="U388" s="242" t="s">
        <v>281</v>
      </c>
      <c r="V388" s="242"/>
      <c r="W388" s="19">
        <v>1</v>
      </c>
      <c r="X388" s="19" t="s">
        <v>118</v>
      </c>
      <c r="Y388" s="16">
        <f>AD286</f>
        <v>20295.829996042739</v>
      </c>
      <c r="Z388" s="176">
        <f t="shared" si="11"/>
        <v>17704.170003957261</v>
      </c>
      <c r="AA388" s="176">
        <f>AD287</f>
        <v>38000</v>
      </c>
    </row>
    <row r="389" spans="2:27" x14ac:dyDescent="0.45">
      <c r="B389" s="19">
        <v>7</v>
      </c>
      <c r="C389" s="242" t="s">
        <v>282</v>
      </c>
      <c r="D389" s="242"/>
      <c r="E389" s="19">
        <v>1</v>
      </c>
      <c r="F389" s="19" t="s">
        <v>118</v>
      </c>
      <c r="G389" s="16">
        <f>L299</f>
        <v>13120.769580087403</v>
      </c>
      <c r="H389" s="176">
        <f t="shared" si="10"/>
        <v>12879.230419912597</v>
      </c>
      <c r="I389" s="176">
        <f>L300</f>
        <v>26000</v>
      </c>
      <c r="T389" s="19">
        <v>7</v>
      </c>
      <c r="U389" s="242" t="s">
        <v>282</v>
      </c>
      <c r="V389" s="242"/>
      <c r="W389" s="19">
        <v>1</v>
      </c>
      <c r="X389" s="19" t="s">
        <v>118</v>
      </c>
      <c r="Y389" s="16">
        <f>AD299</f>
        <v>19799.132737982141</v>
      </c>
      <c r="Z389" s="176">
        <f t="shared" si="11"/>
        <v>18200.867262017859</v>
      </c>
      <c r="AA389" s="176">
        <f>AD300</f>
        <v>38000</v>
      </c>
    </row>
    <row r="390" spans="2:27" x14ac:dyDescent="0.45">
      <c r="B390" s="19">
        <v>8</v>
      </c>
      <c r="C390" s="242" t="s">
        <v>283</v>
      </c>
      <c r="D390" s="242"/>
      <c r="E390" s="19">
        <v>1</v>
      </c>
      <c r="F390" s="19" t="s">
        <v>118</v>
      </c>
      <c r="G390" s="16">
        <f>L312</f>
        <v>13768.816583479071</v>
      </c>
      <c r="H390" s="176">
        <f t="shared" si="10"/>
        <v>12231.183416520929</v>
      </c>
      <c r="I390" s="176">
        <f>L313</f>
        <v>26000</v>
      </c>
      <c r="T390" s="19">
        <v>8</v>
      </c>
      <c r="U390" s="242" t="s">
        <v>283</v>
      </c>
      <c r="V390" s="242"/>
      <c r="W390" s="19">
        <v>1</v>
      </c>
      <c r="X390" s="19" t="s">
        <v>118</v>
      </c>
      <c r="Y390" s="16">
        <f>AD312</f>
        <v>20447.17974137381</v>
      </c>
      <c r="Z390" s="176">
        <f t="shared" si="11"/>
        <v>17552.82025862619</v>
      </c>
      <c r="AA390" s="176">
        <f>AD313</f>
        <v>38000</v>
      </c>
    </row>
    <row r="391" spans="2:27" x14ac:dyDescent="0.45">
      <c r="B391" s="19">
        <v>9</v>
      </c>
      <c r="C391" s="242" t="s">
        <v>284</v>
      </c>
      <c r="D391" s="242"/>
      <c r="E391" s="19">
        <v>1</v>
      </c>
      <c r="F391" s="19" t="s">
        <v>118</v>
      </c>
      <c r="G391" s="16">
        <f>R273</f>
        <v>13269.873260340668</v>
      </c>
      <c r="H391" s="176">
        <f t="shared" si="10"/>
        <v>12730.126739659332</v>
      </c>
      <c r="I391" s="176">
        <f>R274</f>
        <v>26000</v>
      </c>
      <c r="T391" s="19">
        <v>9</v>
      </c>
      <c r="U391" s="242" t="s">
        <v>284</v>
      </c>
      <c r="V391" s="242"/>
      <c r="W391" s="19">
        <v>1</v>
      </c>
      <c r="X391" s="19" t="s">
        <v>118</v>
      </c>
      <c r="Y391" s="16">
        <f>AJ273</f>
        <v>19948.236418235407</v>
      </c>
      <c r="Z391" s="176">
        <f t="shared" si="11"/>
        <v>18051.763581764593</v>
      </c>
      <c r="AA391" s="176">
        <f>AJ274</f>
        <v>38000</v>
      </c>
    </row>
    <row r="392" spans="2:27" x14ac:dyDescent="0.45">
      <c r="B392" s="19">
        <v>10</v>
      </c>
      <c r="C392" s="128" t="s">
        <v>317</v>
      </c>
      <c r="D392" s="128"/>
      <c r="E392" s="19">
        <v>1</v>
      </c>
      <c r="F392" s="19" t="s">
        <v>118</v>
      </c>
      <c r="G392" s="16">
        <f>R286</f>
        <v>13272.119325418471</v>
      </c>
      <c r="H392" s="176">
        <f t="shared" si="10"/>
        <v>12727.880674581529</v>
      </c>
      <c r="I392" s="176">
        <f>R287</f>
        <v>26000</v>
      </c>
      <c r="T392" s="19">
        <v>10</v>
      </c>
      <c r="U392" s="128" t="s">
        <v>317</v>
      </c>
      <c r="V392" s="128"/>
      <c r="W392" s="19">
        <v>1</v>
      </c>
      <c r="X392" s="19" t="s">
        <v>118</v>
      </c>
      <c r="Y392" s="16">
        <f>AJ286</f>
        <v>19950.482483313212</v>
      </c>
      <c r="Z392" s="176">
        <f t="shared" si="11"/>
        <v>18049.517516686788</v>
      </c>
      <c r="AA392" s="176">
        <f>AJ287</f>
        <v>38000</v>
      </c>
    </row>
  </sheetData>
  <mergeCells count="492">
    <mergeCell ref="D48:E48"/>
    <mergeCell ref="J36:K36"/>
    <mergeCell ref="AB13:AC13"/>
    <mergeCell ref="P23:Q23"/>
    <mergeCell ref="P24:Q24"/>
    <mergeCell ref="P25:Q25"/>
    <mergeCell ref="J13:K13"/>
    <mergeCell ref="J24:K24"/>
    <mergeCell ref="AB49:AC49"/>
    <mergeCell ref="AB25:AC25"/>
    <mergeCell ref="T2:AJ2"/>
    <mergeCell ref="V11:W11"/>
    <mergeCell ref="V47:W47"/>
    <mergeCell ref="AB35:AC35"/>
    <mergeCell ref="V12:W12"/>
    <mergeCell ref="V48:W48"/>
    <mergeCell ref="AB36:AC36"/>
    <mergeCell ref="V13:W13"/>
    <mergeCell ref="B2:R2"/>
    <mergeCell ref="D11:E11"/>
    <mergeCell ref="D12:E12"/>
    <mergeCell ref="AH25:AI25"/>
    <mergeCell ref="AH23:AI23"/>
    <mergeCell ref="AH24:AI24"/>
    <mergeCell ref="AB12:AC12"/>
    <mergeCell ref="AB11:AC11"/>
    <mergeCell ref="J11:K11"/>
    <mergeCell ref="J12:K12"/>
    <mergeCell ref="V35:W35"/>
    <mergeCell ref="AB23:AC23"/>
    <mergeCell ref="AH11:AI11"/>
    <mergeCell ref="AB24:AC24"/>
    <mergeCell ref="AH12:AI12"/>
    <mergeCell ref="AB37:AC37"/>
    <mergeCell ref="D61:E61"/>
    <mergeCell ref="J61:K61"/>
    <mergeCell ref="P61:Q61"/>
    <mergeCell ref="D63:E63"/>
    <mergeCell ref="J63:K63"/>
    <mergeCell ref="P63:Q63"/>
    <mergeCell ref="D62:E62"/>
    <mergeCell ref="J62:K62"/>
    <mergeCell ref="P62:Q62"/>
    <mergeCell ref="B51:R51"/>
    <mergeCell ref="D37:E37"/>
    <mergeCell ref="J25:K25"/>
    <mergeCell ref="P13:Q13"/>
    <mergeCell ref="D35:E35"/>
    <mergeCell ref="J23:K23"/>
    <mergeCell ref="P11:Q11"/>
    <mergeCell ref="D36:E36"/>
    <mergeCell ref="V36:W36"/>
    <mergeCell ref="V37:W37"/>
    <mergeCell ref="P12:Q12"/>
    <mergeCell ref="V49:W49"/>
    <mergeCell ref="V23:W23"/>
    <mergeCell ref="D24:E24"/>
    <mergeCell ref="J48:K48"/>
    <mergeCell ref="D25:E25"/>
    <mergeCell ref="J49:K49"/>
    <mergeCell ref="D13:E13"/>
    <mergeCell ref="D49:E49"/>
    <mergeCell ref="J37:K37"/>
    <mergeCell ref="D23:E23"/>
    <mergeCell ref="J47:K47"/>
    <mergeCell ref="D47:E47"/>
    <mergeCell ref="J35:K35"/>
    <mergeCell ref="AH13:AI13"/>
    <mergeCell ref="AB47:AC47"/>
    <mergeCell ref="V24:W24"/>
    <mergeCell ref="AB48:AC48"/>
    <mergeCell ref="V25:W25"/>
    <mergeCell ref="T51:AJ51"/>
    <mergeCell ref="V61:W61"/>
    <mergeCell ref="AB61:AC61"/>
    <mergeCell ref="AH61:AI61"/>
    <mergeCell ref="V62:W62"/>
    <mergeCell ref="AB62:AC62"/>
    <mergeCell ref="AH62:AI62"/>
    <mergeCell ref="V63:W63"/>
    <mergeCell ref="AB63:AC63"/>
    <mergeCell ref="AH63:AI63"/>
    <mergeCell ref="D74:E74"/>
    <mergeCell ref="J74:K74"/>
    <mergeCell ref="P74:Q74"/>
    <mergeCell ref="V74:W74"/>
    <mergeCell ref="AB74:AC74"/>
    <mergeCell ref="AH74:AI74"/>
    <mergeCell ref="V75:W75"/>
    <mergeCell ref="AB75:AC75"/>
    <mergeCell ref="AH75:AI75"/>
    <mergeCell ref="D76:E76"/>
    <mergeCell ref="J76:K76"/>
    <mergeCell ref="P76:Q76"/>
    <mergeCell ref="V76:W76"/>
    <mergeCell ref="AB76:AC76"/>
    <mergeCell ref="AH76:AI76"/>
    <mergeCell ref="D75:E75"/>
    <mergeCell ref="J75:K75"/>
    <mergeCell ref="P75:Q75"/>
    <mergeCell ref="V87:W87"/>
    <mergeCell ref="AB87:AC87"/>
    <mergeCell ref="D88:E88"/>
    <mergeCell ref="J88:K88"/>
    <mergeCell ref="V88:W88"/>
    <mergeCell ref="AB88:AC88"/>
    <mergeCell ref="D89:E89"/>
    <mergeCell ref="J89:K89"/>
    <mergeCell ref="V89:W89"/>
    <mergeCell ref="AB89:AC89"/>
    <mergeCell ref="D87:E87"/>
    <mergeCell ref="J87:K87"/>
    <mergeCell ref="V100:W100"/>
    <mergeCell ref="AB100:AC100"/>
    <mergeCell ref="D101:E101"/>
    <mergeCell ref="J101:K101"/>
    <mergeCell ref="V101:W101"/>
    <mergeCell ref="AB101:AC101"/>
    <mergeCell ref="D102:E102"/>
    <mergeCell ref="J102:K102"/>
    <mergeCell ref="V102:W102"/>
    <mergeCell ref="AB102:AC102"/>
    <mergeCell ref="D100:E100"/>
    <mergeCell ref="J100:K100"/>
    <mergeCell ref="T104:AJ104"/>
    <mergeCell ref="D114:E114"/>
    <mergeCell ref="J114:K114"/>
    <mergeCell ref="P114:Q114"/>
    <mergeCell ref="V114:W114"/>
    <mergeCell ref="AB114:AC114"/>
    <mergeCell ref="AH114:AI114"/>
    <mergeCell ref="D115:E115"/>
    <mergeCell ref="J115:K115"/>
    <mergeCell ref="P115:Q115"/>
    <mergeCell ref="V115:W115"/>
    <mergeCell ref="AB115:AC115"/>
    <mergeCell ref="AH115:AI115"/>
    <mergeCell ref="B104:R104"/>
    <mergeCell ref="V116:W116"/>
    <mergeCell ref="AB116:AC116"/>
    <mergeCell ref="AH116:AI116"/>
    <mergeCell ref="D127:E127"/>
    <mergeCell ref="J127:K127"/>
    <mergeCell ref="P127:Q127"/>
    <mergeCell ref="V127:W127"/>
    <mergeCell ref="AB127:AC127"/>
    <mergeCell ref="AH127:AI127"/>
    <mergeCell ref="D116:E116"/>
    <mergeCell ref="J116:K116"/>
    <mergeCell ref="P116:Q116"/>
    <mergeCell ref="J128:K128"/>
    <mergeCell ref="P128:Q128"/>
    <mergeCell ref="V128:W128"/>
    <mergeCell ref="AB128:AC128"/>
    <mergeCell ref="AH128:AI128"/>
    <mergeCell ref="D129:E129"/>
    <mergeCell ref="J129:K129"/>
    <mergeCell ref="P129:Q129"/>
    <mergeCell ref="V129:W129"/>
    <mergeCell ref="AB129:AC129"/>
    <mergeCell ref="AH129:AI129"/>
    <mergeCell ref="D128:E128"/>
    <mergeCell ref="D140:E140"/>
    <mergeCell ref="J140:K140"/>
    <mergeCell ref="V140:W140"/>
    <mergeCell ref="AB140:AC140"/>
    <mergeCell ref="D141:E141"/>
    <mergeCell ref="J141:K141"/>
    <mergeCell ref="V141:W141"/>
    <mergeCell ref="AB141:AC141"/>
    <mergeCell ref="D142:E142"/>
    <mergeCell ref="J142:K142"/>
    <mergeCell ref="V142:W142"/>
    <mergeCell ref="AB142:AC142"/>
    <mergeCell ref="D153:E153"/>
    <mergeCell ref="J153:K153"/>
    <mergeCell ref="V153:W153"/>
    <mergeCell ref="AB153:AC153"/>
    <mergeCell ref="D154:E154"/>
    <mergeCell ref="J154:K154"/>
    <mergeCell ref="V154:W154"/>
    <mergeCell ref="AB154:AC154"/>
    <mergeCell ref="D155:E155"/>
    <mergeCell ref="J155:K155"/>
    <mergeCell ref="V155:W155"/>
    <mergeCell ref="AB155:AC155"/>
    <mergeCell ref="B157:R157"/>
    <mergeCell ref="T157:AJ157"/>
    <mergeCell ref="D167:E167"/>
    <mergeCell ref="J167:K167"/>
    <mergeCell ref="P167:Q167"/>
    <mergeCell ref="V167:W167"/>
    <mergeCell ref="AB167:AC167"/>
    <mergeCell ref="AH167:AI167"/>
    <mergeCell ref="D168:E168"/>
    <mergeCell ref="J168:K168"/>
    <mergeCell ref="P168:Q168"/>
    <mergeCell ref="V168:W168"/>
    <mergeCell ref="AB168:AC168"/>
    <mergeCell ref="AH168:AI168"/>
    <mergeCell ref="D169:E169"/>
    <mergeCell ref="J169:K169"/>
    <mergeCell ref="P169:Q169"/>
    <mergeCell ref="V169:W169"/>
    <mergeCell ref="AB169:AC169"/>
    <mergeCell ref="AH169:AI169"/>
    <mergeCell ref="D180:E180"/>
    <mergeCell ref="J180:K180"/>
    <mergeCell ref="P180:Q180"/>
    <mergeCell ref="V180:W180"/>
    <mergeCell ref="AB180:AC180"/>
    <mergeCell ref="AH180:AI180"/>
    <mergeCell ref="D181:E181"/>
    <mergeCell ref="J181:K181"/>
    <mergeCell ref="P181:Q181"/>
    <mergeCell ref="V181:W181"/>
    <mergeCell ref="AB181:AC181"/>
    <mergeCell ref="AH181:AI181"/>
    <mergeCell ref="D182:E182"/>
    <mergeCell ref="J182:K182"/>
    <mergeCell ref="P182:Q182"/>
    <mergeCell ref="V182:W182"/>
    <mergeCell ref="AB182:AC182"/>
    <mergeCell ref="AH182:AI182"/>
    <mergeCell ref="D193:E193"/>
    <mergeCell ref="J193:K193"/>
    <mergeCell ref="V193:W193"/>
    <mergeCell ref="AB193:AC193"/>
    <mergeCell ref="D194:E194"/>
    <mergeCell ref="J194:K194"/>
    <mergeCell ref="V194:W194"/>
    <mergeCell ref="AB194:AC194"/>
    <mergeCell ref="D195:E195"/>
    <mergeCell ref="J195:K195"/>
    <mergeCell ref="V195:W195"/>
    <mergeCell ref="AB195:AC195"/>
    <mergeCell ref="D206:E206"/>
    <mergeCell ref="J206:K206"/>
    <mergeCell ref="V206:W206"/>
    <mergeCell ref="AB206:AC206"/>
    <mergeCell ref="D207:E207"/>
    <mergeCell ref="J207:K207"/>
    <mergeCell ref="V207:W207"/>
    <mergeCell ref="AB207:AC207"/>
    <mergeCell ref="D208:E208"/>
    <mergeCell ref="J208:K208"/>
    <mergeCell ref="V208:W208"/>
    <mergeCell ref="AB208:AC208"/>
    <mergeCell ref="B210:R210"/>
    <mergeCell ref="T210:AJ210"/>
    <mergeCell ref="D220:E220"/>
    <mergeCell ref="J220:K220"/>
    <mergeCell ref="P220:Q220"/>
    <mergeCell ref="V220:W220"/>
    <mergeCell ref="AB220:AC220"/>
    <mergeCell ref="AH220:AI220"/>
    <mergeCell ref="D221:E221"/>
    <mergeCell ref="J221:K221"/>
    <mergeCell ref="P221:Q221"/>
    <mergeCell ref="V221:W221"/>
    <mergeCell ref="AB221:AC221"/>
    <mergeCell ref="AH221:AI221"/>
    <mergeCell ref="D222:E222"/>
    <mergeCell ref="J222:K222"/>
    <mergeCell ref="P222:Q222"/>
    <mergeCell ref="V222:W222"/>
    <mergeCell ref="AB222:AC222"/>
    <mergeCell ref="AH222:AI222"/>
    <mergeCell ref="D233:E233"/>
    <mergeCell ref="J233:K233"/>
    <mergeCell ref="P233:Q233"/>
    <mergeCell ref="V233:W233"/>
    <mergeCell ref="AB233:AC233"/>
    <mergeCell ref="AH233:AI233"/>
    <mergeCell ref="D234:E234"/>
    <mergeCell ref="J234:K234"/>
    <mergeCell ref="P234:Q234"/>
    <mergeCell ref="V234:W234"/>
    <mergeCell ref="AB234:AC234"/>
    <mergeCell ref="AH234:AI234"/>
    <mergeCell ref="D235:E235"/>
    <mergeCell ref="J235:K235"/>
    <mergeCell ref="P235:Q235"/>
    <mergeCell ref="V235:W235"/>
    <mergeCell ref="AB235:AC235"/>
    <mergeCell ref="AH235:AI235"/>
    <mergeCell ref="D246:E246"/>
    <mergeCell ref="J246:K246"/>
    <mergeCell ref="V246:W246"/>
    <mergeCell ref="AB246:AC246"/>
    <mergeCell ref="D247:E247"/>
    <mergeCell ref="J247:K247"/>
    <mergeCell ref="V247:W247"/>
    <mergeCell ref="AB247:AC247"/>
    <mergeCell ref="D248:E248"/>
    <mergeCell ref="J248:K248"/>
    <mergeCell ref="V248:W248"/>
    <mergeCell ref="AB248:AC248"/>
    <mergeCell ref="D259:E259"/>
    <mergeCell ref="J259:K259"/>
    <mergeCell ref="V259:W259"/>
    <mergeCell ref="AB259:AC259"/>
    <mergeCell ref="D260:E260"/>
    <mergeCell ref="J260:K260"/>
    <mergeCell ref="V260:W260"/>
    <mergeCell ref="AB260:AC260"/>
    <mergeCell ref="D261:E261"/>
    <mergeCell ref="J261:K261"/>
    <mergeCell ref="V261:W261"/>
    <mergeCell ref="AB261:AC261"/>
    <mergeCell ref="B263:R263"/>
    <mergeCell ref="T263:AJ263"/>
    <mergeCell ref="D273:E273"/>
    <mergeCell ref="J273:K273"/>
    <mergeCell ref="P273:Q273"/>
    <mergeCell ref="V273:W273"/>
    <mergeCell ref="AB273:AC273"/>
    <mergeCell ref="AH273:AI273"/>
    <mergeCell ref="D274:E274"/>
    <mergeCell ref="J274:K274"/>
    <mergeCell ref="P274:Q274"/>
    <mergeCell ref="V274:W274"/>
    <mergeCell ref="AB274:AC274"/>
    <mergeCell ref="AH274:AI274"/>
    <mergeCell ref="D275:E275"/>
    <mergeCell ref="J275:K275"/>
    <mergeCell ref="P275:Q275"/>
    <mergeCell ref="V275:W275"/>
    <mergeCell ref="AB275:AC275"/>
    <mergeCell ref="AH275:AI275"/>
    <mergeCell ref="D286:E286"/>
    <mergeCell ref="J286:K286"/>
    <mergeCell ref="P286:Q286"/>
    <mergeCell ref="V286:W286"/>
    <mergeCell ref="AB286:AC286"/>
    <mergeCell ref="AH286:AI286"/>
    <mergeCell ref="D287:E287"/>
    <mergeCell ref="J287:K287"/>
    <mergeCell ref="P287:Q287"/>
    <mergeCell ref="V287:W287"/>
    <mergeCell ref="AB287:AC287"/>
    <mergeCell ref="AH287:AI287"/>
    <mergeCell ref="D288:E288"/>
    <mergeCell ref="J288:K288"/>
    <mergeCell ref="P288:Q288"/>
    <mergeCell ref="V288:W288"/>
    <mergeCell ref="AB288:AC288"/>
    <mergeCell ref="AH288:AI288"/>
    <mergeCell ref="D299:E299"/>
    <mergeCell ref="J299:K299"/>
    <mergeCell ref="V299:W299"/>
    <mergeCell ref="AB299:AC299"/>
    <mergeCell ref="D300:E300"/>
    <mergeCell ref="J300:K300"/>
    <mergeCell ref="V300:W300"/>
    <mergeCell ref="AB300:AC300"/>
    <mergeCell ref="D301:E301"/>
    <mergeCell ref="J301:K301"/>
    <mergeCell ref="V301:W301"/>
    <mergeCell ref="AB301:AC301"/>
    <mergeCell ref="D312:E312"/>
    <mergeCell ref="J312:K312"/>
    <mergeCell ref="V312:W312"/>
    <mergeCell ref="AB312:AC312"/>
    <mergeCell ref="D313:E313"/>
    <mergeCell ref="J313:K313"/>
    <mergeCell ref="V313:W313"/>
    <mergeCell ref="AB313:AC313"/>
    <mergeCell ref="D314:E314"/>
    <mergeCell ref="J314:K314"/>
    <mergeCell ref="V314:W314"/>
    <mergeCell ref="AB314:AC314"/>
    <mergeCell ref="C317:D317"/>
    <mergeCell ref="U317:V317"/>
    <mergeCell ref="C318:D318"/>
    <mergeCell ref="U318:V318"/>
    <mergeCell ref="C319:D319"/>
    <mergeCell ref="U319:V319"/>
    <mergeCell ref="C320:D320"/>
    <mergeCell ref="U320:V320"/>
    <mergeCell ref="C321:D321"/>
    <mergeCell ref="U321:V321"/>
    <mergeCell ref="C322:D322"/>
    <mergeCell ref="U322:V322"/>
    <mergeCell ref="C323:D323"/>
    <mergeCell ref="U323:V323"/>
    <mergeCell ref="C324:D324"/>
    <mergeCell ref="U324:V324"/>
    <mergeCell ref="C325:D325"/>
    <mergeCell ref="U325:V325"/>
    <mergeCell ref="C326:D326"/>
    <mergeCell ref="U326:V326"/>
    <mergeCell ref="C330:D330"/>
    <mergeCell ref="U330:V330"/>
    <mergeCell ref="C331:D331"/>
    <mergeCell ref="U331:V331"/>
    <mergeCell ref="C332:D332"/>
    <mergeCell ref="U332:V332"/>
    <mergeCell ref="C333:D333"/>
    <mergeCell ref="U333:V333"/>
    <mergeCell ref="C334:D334"/>
    <mergeCell ref="U334:V334"/>
    <mergeCell ref="C335:D335"/>
    <mergeCell ref="U335:V335"/>
    <mergeCell ref="C336:D336"/>
    <mergeCell ref="U336:V336"/>
    <mergeCell ref="C337:D337"/>
    <mergeCell ref="U337:V337"/>
    <mergeCell ref="C338:D338"/>
    <mergeCell ref="U338:V338"/>
    <mergeCell ref="C339:D339"/>
    <mergeCell ref="U339:V339"/>
    <mergeCell ref="C343:D343"/>
    <mergeCell ref="U343:V343"/>
    <mergeCell ref="C344:D344"/>
    <mergeCell ref="U344:V344"/>
    <mergeCell ref="C345:D345"/>
    <mergeCell ref="U345:V345"/>
    <mergeCell ref="C346:D346"/>
    <mergeCell ref="U346:V346"/>
    <mergeCell ref="C347:D347"/>
    <mergeCell ref="U347:V347"/>
    <mergeCell ref="C348:D348"/>
    <mergeCell ref="U348:V348"/>
    <mergeCell ref="C349:D349"/>
    <mergeCell ref="U349:V349"/>
    <mergeCell ref="C350:D350"/>
    <mergeCell ref="U350:V350"/>
    <mergeCell ref="C351:D351"/>
    <mergeCell ref="U351:V351"/>
    <mergeCell ref="C352:D352"/>
    <mergeCell ref="U352:V352"/>
    <mergeCell ref="C356:D356"/>
    <mergeCell ref="U356:V356"/>
    <mergeCell ref="C357:D357"/>
    <mergeCell ref="U357:V357"/>
    <mergeCell ref="C358:D358"/>
    <mergeCell ref="U358:V358"/>
    <mergeCell ref="C359:D359"/>
    <mergeCell ref="U359:V359"/>
    <mergeCell ref="C360:D360"/>
    <mergeCell ref="U360:V360"/>
    <mergeCell ref="C361:D361"/>
    <mergeCell ref="U361:V361"/>
    <mergeCell ref="C362:D362"/>
    <mergeCell ref="U362:V362"/>
    <mergeCell ref="C363:D363"/>
    <mergeCell ref="U363:V363"/>
    <mergeCell ref="C364:D364"/>
    <mergeCell ref="U364:V364"/>
    <mergeCell ref="C365:D365"/>
    <mergeCell ref="U365:V365"/>
    <mergeCell ref="C369:D369"/>
    <mergeCell ref="U369:V369"/>
    <mergeCell ref="C370:D370"/>
    <mergeCell ref="U370:V370"/>
    <mergeCell ref="C371:D371"/>
    <mergeCell ref="U371:V371"/>
    <mergeCell ref="C372:D372"/>
    <mergeCell ref="U372:V372"/>
    <mergeCell ref="C373:D373"/>
    <mergeCell ref="U373:V373"/>
    <mergeCell ref="C374:D374"/>
    <mergeCell ref="U374:V374"/>
    <mergeCell ref="C375:D375"/>
    <mergeCell ref="U375:V375"/>
    <mergeCell ref="C376:D376"/>
    <mergeCell ref="U376:V376"/>
    <mergeCell ref="C377:D377"/>
    <mergeCell ref="U377:V377"/>
    <mergeCell ref="C378:D378"/>
    <mergeCell ref="U378:V378"/>
    <mergeCell ref="C382:D382"/>
    <mergeCell ref="U382:V382"/>
    <mergeCell ref="C383:D383"/>
    <mergeCell ref="U383:V383"/>
    <mergeCell ref="C384:D384"/>
    <mergeCell ref="U384:V384"/>
    <mergeCell ref="C385:D385"/>
    <mergeCell ref="U385:V385"/>
    <mergeCell ref="C386:D386"/>
    <mergeCell ref="U386:V386"/>
    <mergeCell ref="C387:D387"/>
    <mergeCell ref="U387:V387"/>
    <mergeCell ref="C388:D388"/>
    <mergeCell ref="U388:V388"/>
    <mergeCell ref="C389:D389"/>
    <mergeCell ref="U389:V389"/>
    <mergeCell ref="C390:D390"/>
    <mergeCell ref="U390:V390"/>
    <mergeCell ref="C391:D391"/>
    <mergeCell ref="U391:V391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F2703-0A99-4310-9F5B-54D98D0CF3AA}">
  <dimension ref="B2:M62"/>
  <sheetViews>
    <sheetView topLeftCell="A43" workbookViewId="0">
      <selection activeCell="I57" sqref="I57"/>
    </sheetView>
  </sheetViews>
  <sheetFormatPr defaultRowHeight="14.25" x14ac:dyDescent="0.45"/>
  <cols>
    <col min="3" max="3" width="26.86328125" bestFit="1" customWidth="1"/>
    <col min="6" max="6" width="10.46484375" bestFit="1" customWidth="1"/>
    <col min="7" max="7" width="9.19921875" bestFit="1" customWidth="1"/>
    <col min="9" max="9" width="26.86328125" bestFit="1" customWidth="1"/>
    <col min="12" max="12" width="10.46484375" bestFit="1" customWidth="1"/>
  </cols>
  <sheetData>
    <row r="2" spans="2:13" ht="17.25" x14ac:dyDescent="0.45">
      <c r="B2" s="269" t="s">
        <v>214</v>
      </c>
      <c r="C2" s="269"/>
      <c r="D2" s="269"/>
      <c r="E2" s="269"/>
      <c r="F2" s="269"/>
      <c r="G2" s="269"/>
      <c r="H2" s="269"/>
      <c r="I2" s="269"/>
      <c r="J2" s="269"/>
      <c r="K2" s="269"/>
      <c r="L2" s="269"/>
      <c r="M2" s="1"/>
    </row>
    <row r="3" spans="2:13" x14ac:dyDescent="0.4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2:13" ht="14.65" thickBot="1" x14ac:dyDescent="0.5">
      <c r="B4" s="234" t="s">
        <v>214</v>
      </c>
      <c r="C4" s="235"/>
      <c r="D4" s="235"/>
      <c r="E4" s="235"/>
      <c r="F4" s="235"/>
      <c r="G4" s="235"/>
      <c r="H4" s="1"/>
      <c r="I4" s="227"/>
      <c r="J4" s="227"/>
      <c r="K4" s="227"/>
      <c r="L4" s="227"/>
      <c r="M4" s="1"/>
    </row>
    <row r="5" spans="2:13" x14ac:dyDescent="0.45">
      <c r="B5" s="3" t="s">
        <v>0</v>
      </c>
      <c r="C5" s="3" t="s">
        <v>1</v>
      </c>
      <c r="D5" s="3" t="s">
        <v>2</v>
      </c>
      <c r="E5" s="4" t="s">
        <v>3</v>
      </c>
      <c r="F5" s="5" t="s">
        <v>4</v>
      </c>
      <c r="G5" s="4" t="s">
        <v>5</v>
      </c>
      <c r="H5" s="1"/>
      <c r="I5" s="236"/>
      <c r="J5" s="236"/>
      <c r="K5" s="236"/>
      <c r="L5" s="236"/>
      <c r="M5" s="236"/>
    </row>
    <row r="6" spans="2:13" x14ac:dyDescent="0.45">
      <c r="B6" s="19">
        <v>1</v>
      </c>
      <c r="C6" s="14" t="s">
        <v>215</v>
      </c>
      <c r="D6" s="19">
        <v>500</v>
      </c>
      <c r="E6" s="19" t="s">
        <v>8</v>
      </c>
      <c r="F6" s="159">
        <v>72000</v>
      </c>
      <c r="G6" s="160">
        <f>F6/D6</f>
        <v>144</v>
      </c>
      <c r="H6" s="1"/>
      <c r="I6" s="1"/>
      <c r="J6" s="1"/>
      <c r="K6" s="1"/>
      <c r="L6" s="1"/>
      <c r="M6" s="1"/>
    </row>
    <row r="7" spans="2:13" x14ac:dyDescent="0.45">
      <c r="B7" s="19">
        <v>2</v>
      </c>
      <c r="C7" s="14" t="s">
        <v>216</v>
      </c>
      <c r="D7" s="19">
        <v>1000</v>
      </c>
      <c r="E7" s="19" t="s">
        <v>10</v>
      </c>
      <c r="F7" s="20">
        <v>20000</v>
      </c>
      <c r="G7" s="160">
        <f>F7/D7</f>
        <v>20</v>
      </c>
      <c r="H7" s="1"/>
      <c r="I7" s="1"/>
      <c r="J7" s="1"/>
      <c r="K7" s="1"/>
      <c r="L7" s="1"/>
      <c r="M7" s="1"/>
    </row>
    <row r="8" spans="2:13" x14ac:dyDescent="0.45">
      <c r="B8" s="19">
        <v>3</v>
      </c>
      <c r="C8" s="14" t="s">
        <v>13</v>
      </c>
      <c r="D8" s="19">
        <v>1000</v>
      </c>
      <c r="E8" s="19" t="s">
        <v>8</v>
      </c>
      <c r="F8" s="20">
        <v>18000</v>
      </c>
      <c r="G8" s="160">
        <f t="shared" ref="G8:G16" si="0">F8/D8</f>
        <v>18</v>
      </c>
      <c r="H8" s="1"/>
      <c r="I8" s="1"/>
      <c r="J8" s="1"/>
      <c r="K8" s="1"/>
      <c r="L8" s="1"/>
      <c r="M8" s="1"/>
    </row>
    <row r="9" spans="2:13" x14ac:dyDescent="0.45">
      <c r="B9" s="19">
        <v>4</v>
      </c>
      <c r="C9" s="14" t="s">
        <v>52</v>
      </c>
      <c r="D9" s="19">
        <v>19000</v>
      </c>
      <c r="E9" s="19" t="s">
        <v>10</v>
      </c>
      <c r="F9" s="20">
        <v>6000</v>
      </c>
      <c r="G9" s="160">
        <f t="shared" si="0"/>
        <v>0.31578947368421051</v>
      </c>
      <c r="H9" s="1"/>
      <c r="I9" s="1"/>
      <c r="J9" s="1"/>
      <c r="K9" s="1"/>
      <c r="L9" s="1"/>
      <c r="M9" s="1"/>
    </row>
    <row r="10" spans="2:13" x14ac:dyDescent="0.45">
      <c r="B10" s="19">
        <v>5</v>
      </c>
      <c r="C10" s="14" t="s">
        <v>217</v>
      </c>
      <c r="D10" s="19">
        <v>200</v>
      </c>
      <c r="E10" s="19" t="s">
        <v>8</v>
      </c>
      <c r="F10" s="20">
        <v>25000</v>
      </c>
      <c r="G10" s="160">
        <f t="shared" si="0"/>
        <v>125</v>
      </c>
      <c r="H10" s="1"/>
      <c r="I10" s="1"/>
      <c r="J10" s="1"/>
      <c r="K10" s="1"/>
      <c r="L10" s="1"/>
      <c r="M10" s="1"/>
    </row>
    <row r="11" spans="2:13" x14ac:dyDescent="0.45">
      <c r="B11" s="19">
        <v>6</v>
      </c>
      <c r="C11" s="14" t="s">
        <v>218</v>
      </c>
      <c r="D11" s="19">
        <v>500</v>
      </c>
      <c r="E11" s="19" t="s">
        <v>8</v>
      </c>
      <c r="F11" s="20">
        <v>45000</v>
      </c>
      <c r="G11" s="160">
        <f t="shared" si="0"/>
        <v>90</v>
      </c>
      <c r="H11" s="1"/>
      <c r="I11" s="1"/>
      <c r="J11" s="1"/>
      <c r="K11" s="1"/>
      <c r="L11" s="1"/>
      <c r="M11" s="1"/>
    </row>
    <row r="12" spans="2:13" x14ac:dyDescent="0.45">
      <c r="B12" s="19">
        <v>7</v>
      </c>
      <c r="C12" s="14" t="s">
        <v>219</v>
      </c>
      <c r="D12" s="19">
        <v>500</v>
      </c>
      <c r="E12" s="19" t="s">
        <v>8</v>
      </c>
      <c r="F12" s="161">
        <v>60000</v>
      </c>
      <c r="G12" s="16">
        <f t="shared" si="0"/>
        <v>120</v>
      </c>
      <c r="H12" s="1"/>
      <c r="I12" s="1"/>
      <c r="J12" s="1"/>
      <c r="K12" s="1"/>
      <c r="L12" s="1"/>
      <c r="M12" s="1"/>
    </row>
    <row r="13" spans="2:13" x14ac:dyDescent="0.45">
      <c r="B13" s="19">
        <v>8</v>
      </c>
      <c r="C13" s="14" t="s">
        <v>220</v>
      </c>
      <c r="D13" s="19">
        <v>1</v>
      </c>
      <c r="E13" s="19" t="s">
        <v>221</v>
      </c>
      <c r="F13" s="162">
        <v>231</v>
      </c>
      <c r="G13" s="160">
        <f t="shared" si="0"/>
        <v>231</v>
      </c>
      <c r="H13" s="1"/>
      <c r="I13" s="1"/>
      <c r="J13" s="1"/>
      <c r="K13" s="1"/>
      <c r="L13" s="1"/>
      <c r="M13" s="1"/>
    </row>
    <row r="14" spans="2:13" x14ac:dyDescent="0.45">
      <c r="B14" s="19">
        <v>9</v>
      </c>
      <c r="C14" s="14" t="s">
        <v>222</v>
      </c>
      <c r="D14" s="19">
        <v>50</v>
      </c>
      <c r="E14" s="19" t="s">
        <v>23</v>
      </c>
      <c r="F14" s="159">
        <v>15000</v>
      </c>
      <c r="G14" s="160">
        <f t="shared" si="0"/>
        <v>300</v>
      </c>
      <c r="H14" s="1"/>
      <c r="I14" s="1"/>
      <c r="J14" s="1"/>
      <c r="K14" s="1"/>
      <c r="L14" s="1"/>
      <c r="M14" s="1"/>
    </row>
    <row r="15" spans="2:13" x14ac:dyDescent="0.45">
      <c r="B15" s="19">
        <v>10</v>
      </c>
      <c r="C15" s="14" t="s">
        <v>223</v>
      </c>
      <c r="D15" s="19">
        <v>50</v>
      </c>
      <c r="E15" s="19" t="s">
        <v>23</v>
      </c>
      <c r="F15" s="159">
        <v>15000</v>
      </c>
      <c r="G15" s="160">
        <f t="shared" si="0"/>
        <v>300</v>
      </c>
      <c r="H15" s="1"/>
      <c r="I15" s="1"/>
      <c r="J15" s="1"/>
      <c r="K15" s="1"/>
      <c r="L15" s="1"/>
      <c r="M15" s="1"/>
    </row>
    <row r="16" spans="2:13" x14ac:dyDescent="0.45">
      <c r="B16" s="19">
        <v>11</v>
      </c>
      <c r="C16" s="163" t="s">
        <v>224</v>
      </c>
      <c r="D16" s="19">
        <v>100</v>
      </c>
      <c r="E16" s="19" t="s">
        <v>23</v>
      </c>
      <c r="F16" s="58">
        <v>20000</v>
      </c>
      <c r="G16" s="16">
        <f t="shared" si="0"/>
        <v>200</v>
      </c>
      <c r="H16" s="1"/>
      <c r="I16" s="1"/>
      <c r="J16" s="1"/>
      <c r="K16" s="1"/>
      <c r="L16" s="1"/>
      <c r="M16" s="1"/>
    </row>
    <row r="18" spans="2:13" ht="14.65" thickBot="1" x14ac:dyDescent="0.5">
      <c r="B18" s="2" t="s">
        <v>225</v>
      </c>
      <c r="G18" s="1"/>
      <c r="H18" s="164" t="s">
        <v>226</v>
      </c>
      <c r="I18" s="1"/>
      <c r="J18" s="1"/>
      <c r="K18" s="1"/>
      <c r="L18" s="1"/>
    </row>
    <row r="19" spans="2:13" ht="14.65" thickBot="1" x14ac:dyDescent="0.5">
      <c r="B19" s="23" t="s">
        <v>0</v>
      </c>
      <c r="C19" s="23" t="s">
        <v>33</v>
      </c>
      <c r="D19" s="23" t="s">
        <v>34</v>
      </c>
      <c r="E19" s="23" t="s">
        <v>35</v>
      </c>
      <c r="F19" s="23" t="s">
        <v>36</v>
      </c>
      <c r="G19" s="1"/>
      <c r="H19" s="165" t="s">
        <v>0</v>
      </c>
      <c r="I19" s="165" t="s">
        <v>1</v>
      </c>
      <c r="J19" s="165" t="s">
        <v>2</v>
      </c>
      <c r="K19" s="165" t="s">
        <v>3</v>
      </c>
      <c r="L19" s="165" t="s">
        <v>4</v>
      </c>
    </row>
    <row r="20" spans="2:13" x14ac:dyDescent="0.45">
      <c r="B20" s="24">
        <v>1</v>
      </c>
      <c r="C20" s="14" t="s">
        <v>13</v>
      </c>
      <c r="D20" s="25">
        <v>1000</v>
      </c>
      <c r="E20" s="25" t="s">
        <v>8</v>
      </c>
      <c r="F20" s="26">
        <f>D20*$G$8</f>
        <v>18000</v>
      </c>
      <c r="G20" s="1"/>
      <c r="H20" s="62">
        <v>1</v>
      </c>
      <c r="I20" s="65" t="s">
        <v>227</v>
      </c>
      <c r="J20" s="62">
        <v>70</v>
      </c>
      <c r="K20" s="62" t="s">
        <v>8</v>
      </c>
      <c r="L20" s="166">
        <f>J20*$G$12</f>
        <v>8400</v>
      </c>
    </row>
    <row r="21" spans="2:13" x14ac:dyDescent="0.45">
      <c r="B21" s="24">
        <v>2</v>
      </c>
      <c r="C21" s="14" t="s">
        <v>228</v>
      </c>
      <c r="D21" s="31">
        <v>500</v>
      </c>
      <c r="E21" s="31" t="s">
        <v>10</v>
      </c>
      <c r="F21" s="16">
        <f>D21*$G$9</f>
        <v>157.89473684210526</v>
      </c>
      <c r="G21" s="1"/>
      <c r="H21" s="6">
        <v>2</v>
      </c>
      <c r="I21" s="7" t="s">
        <v>52</v>
      </c>
      <c r="J21" s="6">
        <v>2000</v>
      </c>
      <c r="K21" s="6" t="s">
        <v>10</v>
      </c>
      <c r="L21" s="8">
        <f>J21*$G$9</f>
        <v>631.57894736842104</v>
      </c>
    </row>
    <row r="22" spans="2:13" ht="16.5" x14ac:dyDescent="0.45">
      <c r="B22" s="1" t="s">
        <v>229</v>
      </c>
      <c r="C22" s="1"/>
      <c r="D22" s="270" t="s">
        <v>39</v>
      </c>
      <c r="E22" s="270"/>
      <c r="F22" s="28">
        <f>SUM(F20:F20)</f>
        <v>18000</v>
      </c>
      <c r="G22" s="1"/>
      <c r="H22" s="167"/>
      <c r="I22" s="1"/>
      <c r="J22" s="70" t="s">
        <v>39</v>
      </c>
      <c r="K22" s="71"/>
      <c r="L22" s="168">
        <f>SUM(L20:L21)</f>
        <v>9031.5789473684217</v>
      </c>
    </row>
    <row r="23" spans="2:13" x14ac:dyDescent="0.45">
      <c r="B23" s="1"/>
      <c r="C23" s="1"/>
      <c r="D23" s="270" t="s">
        <v>230</v>
      </c>
      <c r="E23" s="270"/>
      <c r="F23" s="14">
        <v>1100</v>
      </c>
      <c r="G23" s="1"/>
      <c r="H23" s="1"/>
      <c r="I23" s="1"/>
      <c r="J23" s="73" t="s">
        <v>231</v>
      </c>
      <c r="K23" s="44"/>
      <c r="L23" s="169">
        <v>1800</v>
      </c>
    </row>
    <row r="24" spans="2:13" ht="16.5" x14ac:dyDescent="0.45">
      <c r="B24" s="1"/>
      <c r="C24" s="1"/>
      <c r="D24" s="270" t="s">
        <v>232</v>
      </c>
      <c r="E24" s="270"/>
      <c r="F24" s="170">
        <f>F22/F23</f>
        <v>16.363636363636363</v>
      </c>
      <c r="G24" s="1"/>
      <c r="H24" s="171"/>
      <c r="I24" s="171"/>
      <c r="J24" s="271" t="s">
        <v>233</v>
      </c>
      <c r="K24" s="272"/>
      <c r="L24" s="172">
        <f>L22/L23</f>
        <v>5.0175438596491233</v>
      </c>
    </row>
    <row r="26" spans="2:13" ht="15.4" x14ac:dyDescent="0.45">
      <c r="B26" s="259" t="s">
        <v>234</v>
      </c>
      <c r="C26" s="259"/>
      <c r="D26" s="259"/>
      <c r="E26" s="259"/>
      <c r="F26" s="259"/>
      <c r="G26" s="259"/>
      <c r="H26" s="259"/>
      <c r="I26" s="259"/>
      <c r="J26" s="259"/>
      <c r="K26" s="259"/>
      <c r="L26" s="259"/>
      <c r="M26" s="173"/>
    </row>
    <row r="27" spans="2:13" ht="14.65" thickBot="1" x14ac:dyDescent="0.5">
      <c r="B27" s="2" t="s">
        <v>235</v>
      </c>
      <c r="H27" s="2" t="s">
        <v>236</v>
      </c>
      <c r="I27" s="1"/>
      <c r="J27" s="1"/>
      <c r="K27" s="1"/>
      <c r="L27" s="1"/>
    </row>
    <row r="28" spans="2:13" x14ac:dyDescent="0.45">
      <c r="B28" s="119" t="s">
        <v>0</v>
      </c>
      <c r="C28" s="119" t="s">
        <v>49</v>
      </c>
      <c r="D28" s="119" t="s">
        <v>34</v>
      </c>
      <c r="E28" s="119" t="s">
        <v>50</v>
      </c>
      <c r="F28" s="119" t="s">
        <v>36</v>
      </c>
      <c r="H28" s="119" t="s">
        <v>0</v>
      </c>
      <c r="I28" s="119" t="s">
        <v>49</v>
      </c>
      <c r="J28" s="119" t="s">
        <v>34</v>
      </c>
      <c r="K28" s="119" t="s">
        <v>50</v>
      </c>
      <c r="L28" s="119" t="s">
        <v>36</v>
      </c>
    </row>
    <row r="29" spans="2:13" x14ac:dyDescent="0.45">
      <c r="B29" s="19">
        <v>1</v>
      </c>
      <c r="C29" s="14" t="s">
        <v>215</v>
      </c>
      <c r="D29" s="19">
        <v>20</v>
      </c>
      <c r="E29" s="19" t="s">
        <v>8</v>
      </c>
      <c r="F29" s="174">
        <f>D29*$G$6</f>
        <v>2880</v>
      </c>
      <c r="H29" s="19">
        <v>1</v>
      </c>
      <c r="I29" s="14" t="s">
        <v>215</v>
      </c>
      <c r="J29" s="19">
        <v>20</v>
      </c>
      <c r="K29" s="19" t="s">
        <v>8</v>
      </c>
      <c r="L29" s="174">
        <f>J29*$G$6</f>
        <v>2880</v>
      </c>
    </row>
    <row r="30" spans="2:13" x14ac:dyDescent="0.45">
      <c r="B30" s="19">
        <v>2</v>
      </c>
      <c r="C30" s="14" t="s">
        <v>237</v>
      </c>
      <c r="D30" s="19">
        <v>50</v>
      </c>
      <c r="E30" s="19" t="s">
        <v>10</v>
      </c>
      <c r="F30" s="174">
        <f>D30*$G$9</f>
        <v>15.789473684210526</v>
      </c>
      <c r="H30" s="19">
        <v>2</v>
      </c>
      <c r="I30" s="14" t="s">
        <v>237</v>
      </c>
      <c r="J30" s="19">
        <v>50</v>
      </c>
      <c r="K30" s="19" t="s">
        <v>10</v>
      </c>
      <c r="L30" s="174">
        <f>J30*$G$9</f>
        <v>15.789473684210526</v>
      </c>
    </row>
    <row r="31" spans="2:13" x14ac:dyDescent="0.45">
      <c r="B31" s="19">
        <v>3</v>
      </c>
      <c r="C31" s="14" t="s">
        <v>238</v>
      </c>
      <c r="D31" s="19">
        <v>25</v>
      </c>
      <c r="E31" s="19" t="s">
        <v>10</v>
      </c>
      <c r="F31" s="20">
        <f>D31*$F$24</f>
        <v>409.09090909090907</v>
      </c>
      <c r="H31" s="19">
        <v>3</v>
      </c>
      <c r="I31" s="14" t="s">
        <v>238</v>
      </c>
      <c r="J31" s="19">
        <v>25</v>
      </c>
      <c r="K31" s="19" t="s">
        <v>10</v>
      </c>
      <c r="L31" s="20">
        <f>J31*$F$24</f>
        <v>409.09090909090907</v>
      </c>
    </row>
    <row r="32" spans="2:13" x14ac:dyDescent="0.45">
      <c r="B32" s="19">
        <v>4</v>
      </c>
      <c r="C32" s="14" t="s">
        <v>216</v>
      </c>
      <c r="D32" s="19">
        <v>100</v>
      </c>
      <c r="E32" s="19" t="s">
        <v>10</v>
      </c>
      <c r="F32" s="174">
        <f>D32*$G$7</f>
        <v>2000</v>
      </c>
      <c r="H32" s="19">
        <v>4</v>
      </c>
      <c r="I32" s="14" t="s">
        <v>239</v>
      </c>
      <c r="J32" s="19">
        <v>15</v>
      </c>
      <c r="K32" s="19" t="s">
        <v>8</v>
      </c>
      <c r="L32" s="20">
        <f>J32*$G$11</f>
        <v>1350</v>
      </c>
    </row>
    <row r="33" spans="2:12" x14ac:dyDescent="0.45">
      <c r="B33" s="19">
        <v>5</v>
      </c>
      <c r="C33" s="14" t="s">
        <v>220</v>
      </c>
      <c r="D33" s="19">
        <v>1</v>
      </c>
      <c r="E33" s="19" t="s">
        <v>221</v>
      </c>
      <c r="F33" s="174">
        <f>D33*$G$13</f>
        <v>231</v>
      </c>
      <c r="H33" s="19">
        <v>5</v>
      </c>
      <c r="I33" s="14" t="s">
        <v>240</v>
      </c>
      <c r="J33" s="19">
        <v>25</v>
      </c>
      <c r="K33" s="19" t="s">
        <v>10</v>
      </c>
      <c r="L33" s="20">
        <f>J33*$G$9</f>
        <v>7.8947368421052628</v>
      </c>
    </row>
    <row r="34" spans="2:12" x14ac:dyDescent="0.45">
      <c r="B34" s="19">
        <v>6</v>
      </c>
      <c r="C34" s="14" t="s">
        <v>222</v>
      </c>
      <c r="D34" s="19">
        <v>1</v>
      </c>
      <c r="E34" s="19" t="s">
        <v>23</v>
      </c>
      <c r="F34" s="174">
        <f>D34*$G$14</f>
        <v>300</v>
      </c>
      <c r="H34" s="19">
        <v>6</v>
      </c>
      <c r="I34" s="14" t="s">
        <v>216</v>
      </c>
      <c r="J34" s="19">
        <v>100</v>
      </c>
      <c r="K34" s="19" t="s">
        <v>10</v>
      </c>
      <c r="L34" s="174">
        <f>J34*$G$7</f>
        <v>2000</v>
      </c>
    </row>
    <row r="35" spans="2:12" x14ac:dyDescent="0.45">
      <c r="B35" s="19">
        <v>7</v>
      </c>
      <c r="C35" s="14" t="s">
        <v>223</v>
      </c>
      <c r="D35" s="19">
        <v>1</v>
      </c>
      <c r="E35" s="19" t="s">
        <v>23</v>
      </c>
      <c r="F35" s="174">
        <f>D35*$G$15</f>
        <v>300</v>
      </c>
      <c r="H35" s="19">
        <v>7</v>
      </c>
      <c r="I35" s="14" t="s">
        <v>220</v>
      </c>
      <c r="J35" s="19">
        <v>1</v>
      </c>
      <c r="K35" s="19" t="s">
        <v>221</v>
      </c>
      <c r="L35" s="174">
        <f>J35*$G$13</f>
        <v>231</v>
      </c>
    </row>
    <row r="36" spans="2:12" x14ac:dyDescent="0.45">
      <c r="B36" s="19">
        <v>8</v>
      </c>
      <c r="C36" s="14" t="s">
        <v>224</v>
      </c>
      <c r="D36" s="31">
        <v>1</v>
      </c>
      <c r="E36" s="31" t="s">
        <v>23</v>
      </c>
      <c r="F36" s="175">
        <f>D36*$G$16</f>
        <v>200</v>
      </c>
      <c r="H36" s="19">
        <v>8</v>
      </c>
      <c r="I36" s="14" t="s">
        <v>222</v>
      </c>
      <c r="J36" s="19">
        <v>1</v>
      </c>
      <c r="K36" s="19" t="s">
        <v>23</v>
      </c>
      <c r="L36" s="174">
        <f>J36*$G$14</f>
        <v>300</v>
      </c>
    </row>
    <row r="37" spans="2:12" x14ac:dyDescent="0.45">
      <c r="B37" s="1"/>
      <c r="C37" s="1"/>
      <c r="D37" s="263" t="s">
        <v>241</v>
      </c>
      <c r="E37" s="263"/>
      <c r="F37" s="176">
        <f>SUM(F29:F36)</f>
        <v>6335.8803827751199</v>
      </c>
      <c r="H37" s="19">
        <v>9</v>
      </c>
      <c r="I37" s="14" t="s">
        <v>223</v>
      </c>
      <c r="J37" s="19">
        <v>1</v>
      </c>
      <c r="K37" s="19" t="s">
        <v>23</v>
      </c>
      <c r="L37" s="174">
        <f>J37*$G$15</f>
        <v>300</v>
      </c>
    </row>
    <row r="38" spans="2:12" x14ac:dyDescent="0.45">
      <c r="B38" s="1"/>
      <c r="C38" s="1"/>
      <c r="D38" s="263" t="s">
        <v>127</v>
      </c>
      <c r="E38" s="263"/>
      <c r="F38" s="177">
        <v>13000</v>
      </c>
      <c r="H38" s="19">
        <v>10</v>
      </c>
      <c r="I38" s="14" t="s">
        <v>224</v>
      </c>
      <c r="J38" s="31">
        <v>1</v>
      </c>
      <c r="K38" s="31" t="s">
        <v>23</v>
      </c>
      <c r="L38" s="175">
        <f>J38*$G$16</f>
        <v>200</v>
      </c>
    </row>
    <row r="39" spans="2:12" x14ac:dyDescent="0.45">
      <c r="B39" s="1"/>
      <c r="C39" s="1"/>
      <c r="D39" s="263" t="s">
        <v>172</v>
      </c>
      <c r="E39" s="263"/>
      <c r="F39" s="176">
        <f>F38-F37</f>
        <v>6664.1196172248801</v>
      </c>
      <c r="H39" s="1"/>
      <c r="I39" s="1"/>
      <c r="J39" s="265" t="s">
        <v>241</v>
      </c>
      <c r="K39" s="266"/>
      <c r="L39" s="176">
        <f>SUM(L29:L38)</f>
        <v>7693.7751196172248</v>
      </c>
    </row>
    <row r="40" spans="2:12" x14ac:dyDescent="0.45">
      <c r="B40" s="2"/>
      <c r="C40" s="1"/>
      <c r="D40" s="1"/>
      <c r="E40" s="1"/>
      <c r="F40" s="1"/>
      <c r="H40" s="1"/>
      <c r="I40" s="1"/>
      <c r="J40" s="265" t="s">
        <v>127</v>
      </c>
      <c r="K40" s="266"/>
      <c r="L40" s="177">
        <v>15000</v>
      </c>
    </row>
    <row r="41" spans="2:12" ht="14.65" thickBot="1" x14ac:dyDescent="0.5">
      <c r="B41" s="2" t="s">
        <v>242</v>
      </c>
      <c r="C41" s="1"/>
      <c r="D41" s="1"/>
      <c r="E41" s="1"/>
      <c r="F41" s="1"/>
      <c r="J41" s="265" t="s">
        <v>172</v>
      </c>
      <c r="K41" s="266"/>
      <c r="L41" s="176">
        <f>L40-L39</f>
        <v>7306.2248803827752</v>
      </c>
    </row>
    <row r="42" spans="2:12" x14ac:dyDescent="0.45">
      <c r="B42" s="119" t="s">
        <v>0</v>
      </c>
      <c r="C42" s="119" t="s">
        <v>49</v>
      </c>
      <c r="D42" s="119" t="s">
        <v>34</v>
      </c>
      <c r="E42" s="119" t="s">
        <v>50</v>
      </c>
      <c r="F42" s="119" t="s">
        <v>36</v>
      </c>
    </row>
    <row r="43" spans="2:12" x14ac:dyDescent="0.45">
      <c r="B43" s="19">
        <v>1</v>
      </c>
      <c r="C43" s="14" t="s">
        <v>215</v>
      </c>
      <c r="D43" s="19">
        <v>20</v>
      </c>
      <c r="E43" s="19" t="s">
        <v>8</v>
      </c>
      <c r="F43" s="174">
        <f>D43*$G$6</f>
        <v>2880</v>
      </c>
      <c r="H43" s="2" t="s">
        <v>243</v>
      </c>
      <c r="I43" s="1"/>
      <c r="J43" s="1"/>
      <c r="K43" s="1"/>
      <c r="L43" s="1"/>
    </row>
    <row r="44" spans="2:12" x14ac:dyDescent="0.45">
      <c r="B44" s="19">
        <v>2</v>
      </c>
      <c r="C44" s="14" t="s">
        <v>237</v>
      </c>
      <c r="D44" s="19">
        <v>50</v>
      </c>
      <c r="E44" s="19" t="s">
        <v>10</v>
      </c>
      <c r="F44" s="174">
        <f>D44*$G$9</f>
        <v>15.789473684210526</v>
      </c>
      <c r="H44" s="178" t="s">
        <v>0</v>
      </c>
      <c r="I44" s="178" t="s">
        <v>49</v>
      </c>
      <c r="J44" s="178" t="s">
        <v>34</v>
      </c>
      <c r="K44" s="178" t="s">
        <v>50</v>
      </c>
      <c r="L44" s="178" t="s">
        <v>36</v>
      </c>
    </row>
    <row r="45" spans="2:12" x14ac:dyDescent="0.45">
      <c r="B45" s="19">
        <v>3</v>
      </c>
      <c r="C45" s="14" t="s">
        <v>238</v>
      </c>
      <c r="D45" s="19">
        <v>25</v>
      </c>
      <c r="E45" s="19" t="s">
        <v>10</v>
      </c>
      <c r="F45" s="20">
        <f>D45*$F$24</f>
        <v>409.09090909090907</v>
      </c>
      <c r="H45" s="62">
        <v>1</v>
      </c>
      <c r="I45" s="65" t="s">
        <v>244</v>
      </c>
      <c r="J45" s="62">
        <v>100</v>
      </c>
      <c r="K45" s="62" t="s">
        <v>10</v>
      </c>
      <c r="L45" s="166">
        <f>J45*$L$24</f>
        <v>501.75438596491233</v>
      </c>
    </row>
    <row r="46" spans="2:12" x14ac:dyDescent="0.45">
      <c r="B46" s="19">
        <v>4</v>
      </c>
      <c r="C46" s="14" t="s">
        <v>217</v>
      </c>
      <c r="D46" s="19">
        <v>15</v>
      </c>
      <c r="E46" s="19" t="s">
        <v>8</v>
      </c>
      <c r="F46" s="20">
        <f>D46*$G$10</f>
        <v>1875</v>
      </c>
      <c r="H46" s="11">
        <v>2</v>
      </c>
      <c r="I46" s="7" t="s">
        <v>238</v>
      </c>
      <c r="J46" s="6">
        <v>30</v>
      </c>
      <c r="K46" s="6" t="s">
        <v>10</v>
      </c>
      <c r="L46" s="8">
        <f>J46*$F$24</f>
        <v>490.90909090909088</v>
      </c>
    </row>
    <row r="47" spans="2:12" x14ac:dyDescent="0.45">
      <c r="B47" s="19">
        <v>5</v>
      </c>
      <c r="C47" s="14" t="s">
        <v>245</v>
      </c>
      <c r="D47" s="19">
        <v>25</v>
      </c>
      <c r="E47" s="19" t="s">
        <v>10</v>
      </c>
      <c r="F47" s="20">
        <f>D47*$G$9</f>
        <v>7.8947368421052628</v>
      </c>
      <c r="H47" s="179">
        <v>3</v>
      </c>
      <c r="I47" s="180" t="s">
        <v>224</v>
      </c>
      <c r="J47" s="31">
        <v>1</v>
      </c>
      <c r="K47" s="31" t="s">
        <v>23</v>
      </c>
      <c r="L47" s="175">
        <f>J47*$G$16</f>
        <v>200</v>
      </c>
    </row>
    <row r="48" spans="2:12" x14ac:dyDescent="0.45">
      <c r="B48" s="19">
        <v>6</v>
      </c>
      <c r="C48" s="14" t="s">
        <v>216</v>
      </c>
      <c r="D48" s="19">
        <v>100</v>
      </c>
      <c r="E48" s="19" t="s">
        <v>10</v>
      </c>
      <c r="F48" s="174">
        <f>D48*$G$7</f>
        <v>2000</v>
      </c>
      <c r="H48" s="19">
        <v>4</v>
      </c>
      <c r="I48" s="14" t="s">
        <v>220</v>
      </c>
      <c r="J48" s="19">
        <v>1</v>
      </c>
      <c r="K48" s="19" t="s">
        <v>221</v>
      </c>
      <c r="L48" s="174">
        <f>J48*$G$13</f>
        <v>231</v>
      </c>
    </row>
    <row r="49" spans="2:12" x14ac:dyDescent="0.45">
      <c r="B49" s="19">
        <v>7</v>
      </c>
      <c r="C49" s="14" t="s">
        <v>220</v>
      </c>
      <c r="D49" s="19">
        <v>1</v>
      </c>
      <c r="E49" s="19" t="s">
        <v>221</v>
      </c>
      <c r="F49" s="174">
        <f>D49*$G$13</f>
        <v>231</v>
      </c>
      <c r="H49" s="31">
        <v>5</v>
      </c>
      <c r="I49" s="14" t="s">
        <v>222</v>
      </c>
      <c r="J49" s="19">
        <v>1</v>
      </c>
      <c r="K49" s="19" t="s">
        <v>23</v>
      </c>
      <c r="L49" s="174">
        <f>J49*$G$14</f>
        <v>300</v>
      </c>
    </row>
    <row r="50" spans="2:12" x14ac:dyDescent="0.45">
      <c r="B50" s="19">
        <v>8</v>
      </c>
      <c r="C50" s="14" t="s">
        <v>222</v>
      </c>
      <c r="D50" s="19">
        <v>1</v>
      </c>
      <c r="E50" s="19" t="s">
        <v>23</v>
      </c>
      <c r="F50" s="174">
        <f>D50*$G$14</f>
        <v>300</v>
      </c>
      <c r="H50" s="31">
        <v>6</v>
      </c>
      <c r="I50" s="14" t="s">
        <v>223</v>
      </c>
      <c r="J50" s="19">
        <v>1</v>
      </c>
      <c r="K50" s="19" t="s">
        <v>23</v>
      </c>
      <c r="L50" s="174">
        <f>J50*$G$15</f>
        <v>300</v>
      </c>
    </row>
    <row r="51" spans="2:12" x14ac:dyDescent="0.45">
      <c r="B51" s="19">
        <v>9</v>
      </c>
      <c r="C51" s="14" t="s">
        <v>223</v>
      </c>
      <c r="D51" s="19">
        <v>1</v>
      </c>
      <c r="E51" s="19" t="s">
        <v>23</v>
      </c>
      <c r="F51" s="174">
        <f>D51*$G$15</f>
        <v>300</v>
      </c>
      <c r="H51" s="1"/>
      <c r="I51" s="1"/>
      <c r="J51" s="267" t="s">
        <v>39</v>
      </c>
      <c r="K51" s="268"/>
      <c r="L51" s="85">
        <f>SUM(L45:L49)</f>
        <v>1723.6634768740032</v>
      </c>
    </row>
    <row r="52" spans="2:12" x14ac:dyDescent="0.45">
      <c r="B52" s="19">
        <v>10</v>
      </c>
      <c r="C52" s="14" t="s">
        <v>224</v>
      </c>
      <c r="D52" s="31">
        <v>1</v>
      </c>
      <c r="E52" s="31" t="s">
        <v>23</v>
      </c>
      <c r="F52" s="175">
        <f>D52*$G$16</f>
        <v>200</v>
      </c>
      <c r="H52" s="1"/>
      <c r="I52" s="1"/>
      <c r="J52" s="267" t="s">
        <v>127</v>
      </c>
      <c r="K52" s="268"/>
      <c r="L52" s="181">
        <v>5000</v>
      </c>
    </row>
    <row r="53" spans="2:12" x14ac:dyDescent="0.45">
      <c r="B53" s="1"/>
      <c r="C53" s="1"/>
      <c r="D53" s="263" t="s">
        <v>241</v>
      </c>
      <c r="E53" s="263"/>
      <c r="F53" s="176">
        <f>SUM(F43:F52)</f>
        <v>8218.7751196172248</v>
      </c>
      <c r="H53" s="1"/>
      <c r="I53" s="1"/>
      <c r="J53" s="267" t="s">
        <v>172</v>
      </c>
      <c r="K53" s="268"/>
      <c r="L53" s="85">
        <f>L52-L51</f>
        <v>3276.3365231259968</v>
      </c>
    </row>
    <row r="54" spans="2:12" x14ac:dyDescent="0.45">
      <c r="B54" s="1"/>
      <c r="C54" s="1"/>
      <c r="D54" s="263" t="s">
        <v>127</v>
      </c>
      <c r="E54" s="263"/>
      <c r="F54" s="177">
        <v>15000</v>
      </c>
    </row>
    <row r="55" spans="2:12" x14ac:dyDescent="0.45">
      <c r="D55" s="263" t="s">
        <v>172</v>
      </c>
      <c r="E55" s="263"/>
      <c r="F55" s="176">
        <f>F54-F53</f>
        <v>6781.2248803827752</v>
      </c>
    </row>
    <row r="57" spans="2:12" x14ac:dyDescent="0.45">
      <c r="B57" s="2" t="s">
        <v>246</v>
      </c>
    </row>
    <row r="58" spans="2:12" x14ac:dyDescent="0.45">
      <c r="B58" s="122" t="s">
        <v>0</v>
      </c>
      <c r="C58" s="122" t="s">
        <v>125</v>
      </c>
      <c r="D58" s="122" t="s">
        <v>34</v>
      </c>
      <c r="E58" s="122" t="s">
        <v>50</v>
      </c>
      <c r="F58" s="123" t="s">
        <v>126</v>
      </c>
      <c r="G58" s="124" t="s">
        <v>119</v>
      </c>
      <c r="H58" s="241" t="s">
        <v>127</v>
      </c>
      <c r="I58" s="241"/>
    </row>
    <row r="59" spans="2:12" x14ac:dyDescent="0.45">
      <c r="B59" s="19">
        <v>1</v>
      </c>
      <c r="C59" s="128" t="s">
        <v>247</v>
      </c>
      <c r="D59" s="19">
        <v>1</v>
      </c>
      <c r="E59" s="19" t="s">
        <v>118</v>
      </c>
      <c r="F59" s="174">
        <f>D59*F37</f>
        <v>6335.8803827751199</v>
      </c>
      <c r="G59" s="174">
        <f>H59-F59</f>
        <v>6664.1196172248801</v>
      </c>
      <c r="H59" s="264">
        <f>F38</f>
        <v>13000</v>
      </c>
      <c r="I59" s="264"/>
    </row>
    <row r="60" spans="2:12" x14ac:dyDescent="0.45">
      <c r="B60" s="19">
        <v>2</v>
      </c>
      <c r="C60" s="128" t="s">
        <v>248</v>
      </c>
      <c r="D60" s="19">
        <v>1</v>
      </c>
      <c r="E60" s="19" t="s">
        <v>118</v>
      </c>
      <c r="F60" s="174">
        <f>F53</f>
        <v>8218.7751196172248</v>
      </c>
      <c r="G60" s="174">
        <f t="shared" ref="G60:G62" si="1">H60-F60</f>
        <v>6781.2248803827752</v>
      </c>
      <c r="H60" s="264">
        <f>F54</f>
        <v>15000</v>
      </c>
      <c r="I60" s="264"/>
    </row>
    <row r="61" spans="2:12" x14ac:dyDescent="0.45">
      <c r="B61" s="19">
        <v>3</v>
      </c>
      <c r="C61" s="128" t="s">
        <v>249</v>
      </c>
      <c r="D61" s="19">
        <v>1</v>
      </c>
      <c r="E61" s="19" t="s">
        <v>118</v>
      </c>
      <c r="F61" s="174">
        <f>L39</f>
        <v>7693.7751196172248</v>
      </c>
      <c r="G61" s="174">
        <f t="shared" si="1"/>
        <v>7306.2248803827752</v>
      </c>
      <c r="H61" s="264">
        <f>L40</f>
        <v>15000</v>
      </c>
      <c r="I61" s="264"/>
    </row>
    <row r="62" spans="2:12" x14ac:dyDescent="0.45">
      <c r="B62" s="19">
        <v>4</v>
      </c>
      <c r="C62" s="128" t="s">
        <v>250</v>
      </c>
      <c r="D62" s="19">
        <v>1</v>
      </c>
      <c r="E62" s="19" t="s">
        <v>118</v>
      </c>
      <c r="F62" s="16">
        <f>L51</f>
        <v>1723.6634768740032</v>
      </c>
      <c r="G62" s="174">
        <f t="shared" si="1"/>
        <v>3276.3365231259968</v>
      </c>
      <c r="H62" s="239">
        <f>L52</f>
        <v>5000</v>
      </c>
      <c r="I62" s="262"/>
    </row>
  </sheetData>
  <mergeCells count="26">
    <mergeCell ref="D39:E39"/>
    <mergeCell ref="J39:K39"/>
    <mergeCell ref="B2:L2"/>
    <mergeCell ref="B4:G4"/>
    <mergeCell ref="I4:L4"/>
    <mergeCell ref="I5:M5"/>
    <mergeCell ref="D22:E22"/>
    <mergeCell ref="D23:E23"/>
    <mergeCell ref="D24:E24"/>
    <mergeCell ref="J24:K24"/>
    <mergeCell ref="B26:L26"/>
    <mergeCell ref="D37:E37"/>
    <mergeCell ref="D38:E38"/>
    <mergeCell ref="J40:K40"/>
    <mergeCell ref="J41:K41"/>
    <mergeCell ref="J51:K51"/>
    <mergeCell ref="J52:K52"/>
    <mergeCell ref="D53:E53"/>
    <mergeCell ref="J53:K53"/>
    <mergeCell ref="H62:I62"/>
    <mergeCell ref="D54:E54"/>
    <mergeCell ref="D55:E55"/>
    <mergeCell ref="H58:I58"/>
    <mergeCell ref="H59:I59"/>
    <mergeCell ref="H60:I60"/>
    <mergeCell ref="H61:I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Daftar HPP</vt:lpstr>
      <vt:lpstr>Ayam Crispy Potong</vt:lpstr>
      <vt:lpstr>Ayam 1 Ekor</vt:lpstr>
      <vt:lpstr>Kentang Kriwil</vt:lpstr>
      <vt:lpstr>Cut Series (Ayam +  Kentang</vt:lpstr>
      <vt:lpstr>Cut Series (Ayam +  Nasi)</vt:lpstr>
      <vt:lpstr>Minuman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ranto</dc:creator>
  <cp:lastModifiedBy>Teddy Lesmana</cp:lastModifiedBy>
  <dcterms:created xsi:type="dcterms:W3CDTF">2026-02-23T08:59:55Z</dcterms:created>
  <dcterms:modified xsi:type="dcterms:W3CDTF">2026-06-04T13:49:57Z</dcterms:modified>
</cp:coreProperties>
</file>